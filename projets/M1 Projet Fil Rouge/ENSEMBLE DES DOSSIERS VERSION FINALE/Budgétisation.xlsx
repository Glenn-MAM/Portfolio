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b631963acf89e7/Bureau/Enseignement/Scolaire/M1/Projet fil rouge/"/>
    </mc:Choice>
  </mc:AlternateContent>
  <xr:revisionPtr revIDLastSave="1" documentId="13_ncr:1_{8B76C644-4A36-4E31-9E65-D4BEE5653E48}" xr6:coauthVersionLast="47" xr6:coauthVersionMax="47" xr10:uidLastSave="{32805A44-9AA4-4C5F-95BF-4153D74A0BE3}"/>
  <bookViews>
    <workbookView xWindow="-108" yWindow="-108" windowWidth="23256" windowHeight="12456" activeTab="3" xr2:uid="{F3EB7358-3E32-46DC-8EF7-55C9637BDD5C}"/>
  </bookViews>
  <sheets>
    <sheet name="Employé " sheetId="2" r:id="rId1"/>
    <sheet name="Salaire" sheetId="1" r:id="rId2"/>
    <sheet name="Infrastructure et Formation" sheetId="3" r:id="rId3"/>
    <sheet name="Coût total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5" l="1"/>
  <c r="B4" i="5"/>
  <c r="B2" i="5"/>
  <c r="B3" i="5"/>
  <c r="I5" i="1"/>
  <c r="G5" i="1"/>
  <c r="H5" i="1"/>
  <c r="D4" i="1"/>
  <c r="D5" i="1"/>
  <c r="D3" i="1"/>
  <c r="H3" i="1" s="1"/>
  <c r="D2" i="1"/>
  <c r="H2" i="1" s="1"/>
  <c r="C5" i="1"/>
  <c r="H4" i="1"/>
  <c r="G3" i="1"/>
  <c r="G4" i="1"/>
  <c r="G2" i="1"/>
  <c r="F5" i="1"/>
  <c r="F3" i="1"/>
  <c r="F2" i="1"/>
  <c r="B3" i="3"/>
  <c r="D6" i="2"/>
  <c r="C6" i="2"/>
  <c r="D5" i="2"/>
  <c r="C5" i="2"/>
  <c r="D4" i="2"/>
  <c r="C4" i="2"/>
  <c r="D3" i="2"/>
  <c r="C3" i="2"/>
  <c r="D2" i="2"/>
  <c r="C2" i="2"/>
  <c r="C3" i="1"/>
  <c r="C4" i="1"/>
  <c r="C2" i="1"/>
</calcChain>
</file>

<file path=xl/sharedStrings.xml><?xml version="1.0" encoding="utf-8"?>
<sst xmlns="http://schemas.openxmlformats.org/spreadsheetml/2006/main" count="44" uniqueCount="41">
  <si>
    <t>Intitulé</t>
  </si>
  <si>
    <t>Taux horaire  brut</t>
  </si>
  <si>
    <t>Taux journalier brut</t>
  </si>
  <si>
    <t>Taux mensuel brut</t>
  </si>
  <si>
    <t>Chef de projet</t>
  </si>
  <si>
    <t>Dévellopeur Web</t>
  </si>
  <si>
    <t>Business analyst</t>
  </si>
  <si>
    <t>Nom</t>
  </si>
  <si>
    <t>Prénom</t>
  </si>
  <si>
    <t>Fonction</t>
  </si>
  <si>
    <t>Bourhane</t>
  </si>
  <si>
    <t>Attoumane</t>
  </si>
  <si>
    <t>Code</t>
  </si>
  <si>
    <t>Mallet</t>
  </si>
  <si>
    <t>Maêl</t>
  </si>
  <si>
    <t>MADZOU-A-MIERE</t>
  </si>
  <si>
    <t>Glenn</t>
  </si>
  <si>
    <t>SONGORO</t>
  </si>
  <si>
    <t>Lionel</t>
  </si>
  <si>
    <t>AYHAN</t>
  </si>
  <si>
    <t>Téoman</t>
  </si>
  <si>
    <t>Serveurs cloud</t>
  </si>
  <si>
    <t>Coüts mensuel estimé</t>
  </si>
  <si>
    <t xml:space="preserve">Coût annuel estimé </t>
  </si>
  <si>
    <t>Effectif Total</t>
  </si>
  <si>
    <t>Coût Journalier total</t>
  </si>
  <si>
    <t>Coût Mensuel total</t>
  </si>
  <si>
    <t>Totaux Mensuel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</si>
  <si>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</si>
  <si>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</si>
  <si>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</si>
  <si>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                   </t>
  </si>
  <si>
    <t>Concepteur de base de données (externe)</t>
  </si>
  <si>
    <t>Formation</t>
  </si>
  <si>
    <t xml:space="preserve">Durée </t>
  </si>
  <si>
    <t>Cout tôtal</t>
  </si>
  <si>
    <t>4 mois</t>
  </si>
  <si>
    <t>5 mois</t>
  </si>
  <si>
    <t>6 mois</t>
  </si>
  <si>
    <t>ML</t>
  </si>
  <si>
    <t>10 mois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</si>
</sst>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\ [$€-40C]_-;\-* #,##0.00\ [$€-40C]_-;_-* &quot;-&quot;??\ [$€-40C]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6EC01-32B9-4750-B701-228028417BE9}">
  <dimension ref="A1:D6"/>
  <sheetViews>
    <sheetView workbookViewId="0">
      <selection activeCell="J15" sqref="J15"/>
    </sheetView>
  </sheetViews>
  <sheetFormatPr baseColWidth="10" defaultRowHeight="14.4" x14ac:dyDescent="0.3"/>
  <cols>
    <col min="1" max="1" width="11.5546875" style="1"/>
    <col min="2" max="2" width="11.88671875" style="1" customWidth="1"/>
    <col min="3" max="3" width="14.21875" style="1" customWidth="1"/>
    <col min="4" max="16384" width="11.5546875" style="1"/>
  </cols>
  <sheetData>
    <row r="1" spans="1:4" x14ac:dyDescent="0.3">
      <c r="A1" s="5" t="s">
        <v>7</v>
      </c>
      <c r="B1" s="5" t="s">
        <v>8</v>
      </c>
      <c r="C1" s="5" t="s">
        <v>9</v>
      </c>
      <c r="D1" s="5" t="s">
        <v>12</v>
      </c>
    </row>
    <row r="2" spans="1:4" x14ac:dyDescent="0.3">
      <c r="A2" s="6" t="s">
        <v>10</v>
      </c>
      <c r="B2" s="6" t="s">
        <v>11</v>
      </c>
      <c r="C2" s="6" t="str">
        <f>Salaire!A2</f>
        <v>Chef de projet</v>
      </c>
      <c r="D2" s="6">
        <f>Salaire!E2</f>
        <v>1</v>
      </c>
    </row>
    <row r="3" spans="1:4" x14ac:dyDescent="0.3">
      <c r="A3" s="6" t="s">
        <v>13</v>
      </c>
      <c r="B3" s="6" t="s">
        <v>14</v>
      </c>
      <c r="C3" s="6" t="str">
        <f>Salaire!A3</f>
        <v>Dévellopeur Web</v>
      </c>
      <c r="D3" s="6">
        <f>Salaire!E3</f>
        <v>2</v>
      </c>
    </row>
    <row r="4" spans="1:4" ht="28.8" x14ac:dyDescent="0.3">
      <c r="A4" s="7" t="s">
        <v>15</v>
      </c>
      <c r="B4" s="6" t="s">
        <v>16</v>
      </c>
      <c r="C4" s="6" t="str">
        <f>Salaire!A3</f>
        <v>Dévellopeur Web</v>
      </c>
      <c r="D4" s="6">
        <f>Salaire!E3</f>
        <v>2</v>
      </c>
    </row>
    <row r="5" spans="1:4" x14ac:dyDescent="0.3">
      <c r="A5" s="6" t="s">
        <v>17</v>
      </c>
      <c r="B5" s="6" t="s">
        <v>18</v>
      </c>
      <c r="C5" s="6" t="str">
        <f>Salaire!A5</f>
        <v>Business analyst</v>
      </c>
      <c r="D5" s="6">
        <f>Salaire!E5</f>
        <v>4</v>
      </c>
    </row>
    <row r="6" spans="1:4" x14ac:dyDescent="0.3">
      <c r="A6" s="6" t="s">
        <v>19</v>
      </c>
      <c r="B6" s="6" t="s">
        <v>20</v>
      </c>
      <c r="C6" s="6" t="str">
        <f>Salaire!A5</f>
        <v>Business analyst</v>
      </c>
      <c r="D6" s="6">
        <f>Salaire!E5</f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ADAB1-4564-4331-A61B-854041F7FED9}">
  <dimension ref="A1:I17"/>
  <sheetViews>
    <sheetView workbookViewId="0">
      <selection activeCell="I6" sqref="I6"/>
    </sheetView>
  </sheetViews>
  <sheetFormatPr baseColWidth="10" defaultColWidth="17" defaultRowHeight="21" customHeight="1" x14ac:dyDescent="0.3"/>
  <cols>
    <col min="1" max="6" width="17" style="1"/>
    <col min="7" max="7" width="17.5546875" style="1" customWidth="1"/>
    <col min="8" max="16384" width="17" style="1"/>
  </cols>
  <sheetData>
    <row r="1" spans="1:9" ht="21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12</v>
      </c>
      <c r="F1" s="5" t="s">
        <v>24</v>
      </c>
      <c r="G1" s="5" t="s">
        <v>25</v>
      </c>
      <c r="H1" s="5" t="s">
        <v>26</v>
      </c>
    </row>
    <row r="2" spans="1:9" ht="21" customHeight="1" x14ac:dyDescent="0.3">
      <c r="A2" s="6" t="s">
        <v>4</v>
      </c>
      <c r="B2" s="8">
        <v>23.06</v>
      </c>
      <c r="C2" s="9">
        <f>B2*7</f>
        <v>161.41999999999999</v>
      </c>
      <c r="D2" s="9">
        <f>B2*140</f>
        <v>3228.3999999999996</v>
      </c>
      <c r="E2" s="6">
        <v>1</v>
      </c>
      <c r="F2" s="10">
        <f>COUNTIF('Employé '!D:D,1)</f>
        <v>1</v>
      </c>
      <c r="G2" s="9">
        <f>C2*F2</f>
        <v>161.41999999999999</v>
      </c>
      <c r="H2" s="9">
        <f>D2*F2</f>
        <v>3228.3999999999996</v>
      </c>
    </row>
    <row r="3" spans="1:9" ht="21" customHeight="1" x14ac:dyDescent="0.3">
      <c r="A3" s="6" t="s">
        <v>5</v>
      </c>
      <c r="B3" s="11">
        <v>20.329999999999998</v>
      </c>
      <c r="C3" s="9">
        <f t="shared" ref="C3:C4" si="0">B3*7</f>
        <v>142.31</v>
      </c>
      <c r="D3" s="9">
        <f>B3*140</f>
        <v>2846.2</v>
      </c>
      <c r="E3" s="6">
        <v>2</v>
      </c>
      <c r="F3" s="6">
        <f>COUNTIF('Employé '!D:D,2)</f>
        <v>2</v>
      </c>
      <c r="G3" s="9">
        <f t="shared" ref="G3:G4" si="1">C3*F3</f>
        <v>284.62</v>
      </c>
      <c r="H3" s="9">
        <f>D3*F3</f>
        <v>5692.4</v>
      </c>
    </row>
    <row r="4" spans="1:9" ht="42.6" customHeight="1" x14ac:dyDescent="0.3">
      <c r="A4" s="7" t="s">
        <v>32</v>
      </c>
      <c r="B4" s="11">
        <v>18.68</v>
      </c>
      <c r="C4" s="9">
        <f t="shared" si="0"/>
        <v>130.76</v>
      </c>
      <c r="D4" s="9">
        <f>C4*17</f>
        <v>2222.92</v>
      </c>
      <c r="E4" s="6">
        <v>3</v>
      </c>
      <c r="F4" s="6">
        <v>1</v>
      </c>
      <c r="G4" s="9">
        <f t="shared" si="1"/>
        <v>130.76</v>
      </c>
      <c r="H4" s="9">
        <f>G4*17</f>
        <v>2222.92</v>
      </c>
      <c r="I4" s="12" t="s">
        <v>27</v>
      </c>
    </row>
    <row r="5" spans="1:9" ht="21" customHeight="1" x14ac:dyDescent="0.3">
      <c r="A5" s="6" t="s">
        <v>6</v>
      </c>
      <c r="B5" s="11">
        <v>24.73</v>
      </c>
      <c r="C5" s="9">
        <f>B5*7</f>
        <v>173.11</v>
      </c>
      <c r="D5" s="9">
        <f>B5*140</f>
        <v>3462.2000000000003</v>
      </c>
      <c r="E5" s="6">
        <v>4</v>
      </c>
      <c r="F5" s="6">
        <f>COUNTIF('Employé '!D:D,4)</f>
        <v>2</v>
      </c>
      <c r="G5" s="9">
        <f>C5*F5</f>
        <v>346.22</v>
      </c>
      <c r="H5" s="9">
        <f>D5*F5</f>
        <v>6924.4000000000005</v>
      </c>
      <c r="I5" s="11">
        <f>H2+H3+H5</f>
        <v>15845.2</v>
      </c>
    </row>
    <row r="6" spans="1:9" ht="21" customHeight="1" x14ac:dyDescent="0.3">
      <c r="A6" s="1" t="s">
        <v>28</v>
      </c>
      <c r="B6" s="3"/>
      <c r="C6" s="2"/>
      <c r="D6" s="2"/>
    </row>
    <row r="7" spans="1:9" ht="21" customHeight="1" x14ac:dyDescent="0.3">
      <c r="B7" s="3"/>
      <c r="C7" s="2" t="s">
        <v>30</v>
      </c>
      <c r="D7" s="2"/>
      <c r="E7" s="1" t="s">
        <v>29</v>
      </c>
    </row>
    <row r="8" spans="1:9" ht="21" customHeight="1" x14ac:dyDescent="0.3">
      <c r="B8" s="3"/>
      <c r="C8" s="2"/>
      <c r="D8" s="2"/>
    </row>
    <row r="9" spans="1:9" ht="21" customHeight="1" x14ac:dyDescent="0.3">
      <c r="B9" s="3"/>
      <c r="C9" s="2"/>
      <c r="D9" s="2"/>
    </row>
    <row r="10" spans="1:9" ht="21" customHeight="1" x14ac:dyDescent="0.3">
      <c r="B10" s="3"/>
      <c r="C10" s="2"/>
      <c r="D10" s="2"/>
    </row>
    <row r="11" spans="1:9" ht="21" customHeight="1" x14ac:dyDescent="0.3">
      <c r="B11" s="3"/>
      <c r="C11" s="2"/>
      <c r="D11" s="2"/>
    </row>
    <row r="12" spans="1:9" ht="21" customHeight="1" x14ac:dyDescent="0.3">
      <c r="C12" s="2" t="s">
        <v>31</v>
      </c>
      <c r="D12" s="2"/>
    </row>
    <row r="16" spans="1:9" ht="21" customHeight="1" x14ac:dyDescent="0.3">
      <c r="A16" s="1" t="s">
        <v>39</v>
      </c>
    </row>
    <row r="17" spans="1:1" ht="21" customHeight="1" x14ac:dyDescent="0.3">
      <c r="A17" s="1" t="s">
        <v>39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47E35-8D0D-4ABD-A026-1E3283E9B35B}">
  <dimension ref="A1:K5"/>
  <sheetViews>
    <sheetView workbookViewId="0">
      <selection activeCell="B3" sqref="B3"/>
    </sheetView>
  </sheetViews>
  <sheetFormatPr baseColWidth="10" defaultRowHeight="14.4" x14ac:dyDescent="0.3"/>
  <cols>
    <col min="1" max="1" width="14.21875" style="1" customWidth="1"/>
    <col min="2" max="2" width="11.5546875" style="1"/>
    <col min="3" max="3" width="9.6640625" style="1" customWidth="1"/>
    <col min="4" max="4" width="13.44140625" style="1" customWidth="1"/>
    <col min="5" max="5" width="14.33203125" style="1" customWidth="1"/>
    <col min="6" max="7" width="11.5546875" style="1"/>
    <col min="8" max="8" width="13" style="1" customWidth="1"/>
    <col min="9" max="16384" width="11.5546875" style="1"/>
  </cols>
  <sheetData>
    <row r="1" spans="1:11" ht="16.8" customHeight="1" x14ac:dyDescent="0.3">
      <c r="A1" s="14" t="s">
        <v>21</v>
      </c>
      <c r="B1" s="14"/>
      <c r="D1" s="14" t="s">
        <v>33</v>
      </c>
      <c r="E1" s="14"/>
      <c r="J1" s="15"/>
      <c r="K1" s="15"/>
    </row>
    <row r="2" spans="1:11" ht="27.6" customHeight="1" x14ac:dyDescent="0.3">
      <c r="A2" s="7" t="s">
        <v>22</v>
      </c>
      <c r="B2" s="11">
        <v>738.79</v>
      </c>
      <c r="D2" s="7" t="s">
        <v>22</v>
      </c>
      <c r="E2" s="11">
        <v>2000</v>
      </c>
      <c r="J2" s="4"/>
    </row>
    <row r="3" spans="1:11" ht="28.8" x14ac:dyDescent="0.3">
      <c r="A3" s="7" t="s">
        <v>23</v>
      </c>
      <c r="B3" s="11">
        <f>B2*12</f>
        <v>8865.48</v>
      </c>
      <c r="D3" s="4"/>
      <c r="J3" s="4"/>
    </row>
    <row r="4" spans="1:11" x14ac:dyDescent="0.3">
      <c r="A4" s="4"/>
    </row>
    <row r="5" spans="1:11" x14ac:dyDescent="0.3">
      <c r="A5" s="4"/>
    </row>
  </sheetData>
  <mergeCells count="3">
    <mergeCell ref="A1:B1"/>
    <mergeCell ref="J1:K1"/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CCA8C-3722-44D2-B3E2-B2D89493C211}">
  <dimension ref="A1:B5"/>
  <sheetViews>
    <sheetView tabSelected="1" workbookViewId="0">
      <selection activeCell="C6" sqref="C6"/>
    </sheetView>
  </sheetViews>
  <sheetFormatPr baseColWidth="10" defaultColWidth="13.77734375" defaultRowHeight="22.8" customHeight="1" x14ac:dyDescent="0.3"/>
  <cols>
    <col min="1" max="16384" width="13.77734375" style="1"/>
  </cols>
  <sheetData>
    <row r="1" spans="1:2" ht="22.8" customHeight="1" x14ac:dyDescent="0.3">
      <c r="A1" s="5" t="s">
        <v>34</v>
      </c>
      <c r="B1" s="12" t="s">
        <v>35</v>
      </c>
    </row>
    <row r="2" spans="1:2" ht="22.8" customHeight="1" x14ac:dyDescent="0.3">
      <c r="A2" s="6" t="s">
        <v>36</v>
      </c>
      <c r="B2" s="13">
        <f>Salaire!I5*4+Salaire!H4+'Infrastructure et Formation'!B2*4+'Infrastructure et Formation'!E2</f>
        <v>70558.880000000005</v>
      </c>
    </row>
    <row r="3" spans="1:2" ht="22.8" customHeight="1" x14ac:dyDescent="0.3">
      <c r="A3" s="6" t="s">
        <v>37</v>
      </c>
      <c r="B3" s="13">
        <f>Salaire!I5*5+Salaire!H4+'Infrastructure et Formation'!B2*5+'Infrastructure et Formation'!E2</f>
        <v>87142.87</v>
      </c>
    </row>
    <row r="4" spans="1:2" ht="22.8" customHeight="1" x14ac:dyDescent="0.3">
      <c r="A4" s="6" t="s">
        <v>38</v>
      </c>
      <c r="B4" s="13">
        <f>Salaire!I5*6+Salaire!H4+'Infrastructure et Formation'!B2*6+'Infrastructure et Formation'!E2</f>
        <v>103726.86000000002</v>
      </c>
    </row>
    <row r="5" spans="1:2" ht="22.8" customHeight="1" x14ac:dyDescent="0.3">
      <c r="A5" s="6" t="s">
        <v>40</v>
      </c>
      <c r="B5" s="13">
        <f>Salaire!I5*10+Salaire!H4+'Infrastructure et Formation'!B2*10+'Infrastructure et Formation'!E2</f>
        <v>170062.82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Employé </vt:lpstr>
      <vt:lpstr>Salaire</vt:lpstr>
      <vt:lpstr>Infrastructure et Formation</vt:lpstr>
      <vt:lpstr>Coût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Attoumane Bourhane</dc:creator>
  <cp:lastModifiedBy>Attoumane Bourhane</cp:lastModifiedBy>
  <dcterms:created xsi:type="dcterms:W3CDTF">2025-01-05T19:38:27Z</dcterms:created>
  <dcterms:modified xsi:type="dcterms:W3CDTF">2025-01-06T15:01:39Z</dcterms:modified>
</cp:coreProperties>
</file>