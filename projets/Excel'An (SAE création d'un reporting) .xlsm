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TTA SANTE\Desktop\HOUDA\Projets\"/>
    </mc:Choice>
  </mc:AlternateContent>
  <xr:revisionPtr revIDLastSave="0" documentId="8_{90F9F015-C77F-4E98-A806-D03AD4F44A78}" xr6:coauthVersionLast="47" xr6:coauthVersionMax="47" xr10:uidLastSave="{00000000-0000-0000-0000-000000000000}"/>
  <bookViews>
    <workbookView xWindow="-108" yWindow="-108" windowWidth="23256" windowHeight="12576" xr2:uid="{D5BF9882-0F17-4EE8-BB29-D04C35657854}"/>
  </bookViews>
  <sheets>
    <sheet name="Guide d'utilisation" sheetId="1" r:id="rId1"/>
    <sheet name="Semestre 1" sheetId="6" r:id="rId2"/>
    <sheet name="S1 relevé de note" sheetId="3" r:id="rId3"/>
    <sheet name="Semestre 2" sheetId="7" r:id="rId4"/>
    <sheet name="S2 relevé de note" sheetId="5" r:id="rId5"/>
    <sheet name="Passage 2ème année" sheetId="9" r:id="rId6"/>
    <sheet name="Annexe" sheetId="4" state="hidden" r:id="rId7"/>
  </sheets>
  <definedNames>
    <definedName name="S1_Analyser_statistiquement_les_données">Annexe!$B$2:$B$6</definedName>
    <definedName name="S1_Traiter_des_données_à_des_fins_décisionnelles">Annexe!$A$2:$A$7</definedName>
    <definedName name="S1_Valoriser_une_production_dans_un_contexte_professionnel">Annexe!$C$2:$C$7</definedName>
    <definedName name="S2_Analyser_statistiquement_les_données">Annexe!$B$11:$B$19</definedName>
    <definedName name="S2_Traiter_des_données_à_des_fins_décisionnelles">Annexe!$A$11:$A$18</definedName>
    <definedName name="S2_Valoriser_une_production_dans_un_contexte_professionnel">Annexe!$C$11:$C$18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6" i="3" l="1"/>
  <c r="H26" i="3"/>
  <c r="F24" i="5"/>
  <c r="H24" i="5"/>
  <c r="F25" i="3"/>
  <c r="H25" i="3"/>
  <c r="F23" i="5"/>
  <c r="H23" i="5"/>
  <c r="F24" i="3"/>
  <c r="H24" i="3"/>
  <c r="F22" i="5"/>
  <c r="H22" i="5"/>
  <c r="A22" i="3"/>
  <c r="A23" i="3" s="1"/>
  <c r="A13" i="3"/>
  <c r="A14" i="3" s="1"/>
  <c r="A15" i="3" s="1"/>
  <c r="A16" i="3" s="1"/>
  <c r="A17" i="3" s="1"/>
  <c r="A18" i="3" s="1"/>
  <c r="A19" i="3" s="1"/>
  <c r="A20" i="3" s="1"/>
  <c r="A21" i="3" s="1"/>
  <c r="F23" i="3"/>
  <c r="H23" i="3"/>
  <c r="F22" i="3"/>
  <c r="H22" i="3"/>
  <c r="F21" i="3"/>
  <c r="H21" i="3"/>
  <c r="A12" i="3"/>
  <c r="F21" i="5"/>
  <c r="H21" i="5"/>
  <c r="F20" i="3"/>
  <c r="H20" i="3"/>
  <c r="F19" i="3"/>
  <c r="H19" i="3"/>
  <c r="F18" i="3"/>
  <c r="H18" i="3"/>
  <c r="F17" i="3"/>
  <c r="H17" i="3"/>
  <c r="F20" i="5"/>
  <c r="H20" i="5"/>
  <c r="F19" i="5"/>
  <c r="H19" i="5"/>
  <c r="A12" i="5"/>
  <c r="A13" i="5" s="1"/>
  <c r="A14" i="5" s="1"/>
  <c r="A15" i="5" s="1"/>
  <c r="A16" i="5" s="1"/>
  <c r="A17" i="5" s="1"/>
  <c r="A18" i="5" s="1"/>
  <c r="F18" i="5"/>
  <c r="H18" i="5"/>
  <c r="D7" i="7" l="1"/>
  <c r="D9" i="7"/>
  <c r="D10" i="7"/>
  <c r="D11" i="7"/>
  <c r="D13" i="7"/>
  <c r="D14" i="7"/>
  <c r="D16" i="7"/>
  <c r="D17" i="7"/>
  <c r="D19" i="7"/>
  <c r="D20" i="7"/>
  <c r="D21" i="7"/>
  <c r="D23" i="7"/>
  <c r="D24" i="7"/>
  <c r="D27" i="7"/>
  <c r="D28" i="7"/>
  <c r="D29" i="7"/>
  <c r="D30" i="7"/>
  <c r="D5" i="7"/>
  <c r="E13" i="7"/>
  <c r="E14" i="7"/>
  <c r="E16" i="7"/>
  <c r="E17" i="7"/>
  <c r="E19" i="7"/>
  <c r="E20" i="7"/>
  <c r="E21" i="7"/>
  <c r="E23" i="7"/>
  <c r="E24" i="7"/>
  <c r="E27" i="7"/>
  <c r="E28" i="7"/>
  <c r="E29" i="7"/>
  <c r="E30" i="7"/>
  <c r="E5" i="7"/>
  <c r="E7" i="7"/>
  <c r="E9" i="7"/>
  <c r="E10" i="7"/>
  <c r="E11" i="7"/>
  <c r="E4" i="7"/>
  <c r="C35" i="7" l="1"/>
  <c r="F17" i="5"/>
  <c r="D18" i="7" s="1"/>
  <c r="H17" i="5"/>
  <c r="E18" i="7" s="1"/>
  <c r="F13" i="5"/>
  <c r="H11" i="5"/>
  <c r="E8" i="7" s="1"/>
  <c r="H12" i="5"/>
  <c r="E26" i="7" s="1"/>
  <c r="H13" i="5"/>
  <c r="H14" i="5"/>
  <c r="H15" i="5"/>
  <c r="E25" i="7" s="1"/>
  <c r="H16" i="5"/>
  <c r="E6" i="7" s="1"/>
  <c r="F11" i="5"/>
  <c r="D8" i="7" s="1"/>
  <c r="F12" i="5"/>
  <c r="D26" i="7" s="1"/>
  <c r="F14" i="5"/>
  <c r="F15" i="5"/>
  <c r="D25" i="7" s="1"/>
  <c r="F16" i="5"/>
  <c r="D6" i="7" s="1"/>
  <c r="F16" i="3"/>
  <c r="H16" i="3"/>
  <c r="D15" i="7" l="1"/>
  <c r="E15" i="7"/>
  <c r="F11" i="3"/>
  <c r="F12" i="3"/>
  <c r="D15" i="6"/>
  <c r="D5" i="6"/>
  <c r="F13" i="3"/>
  <c r="D6" i="6"/>
  <c r="D22" i="6"/>
  <c r="D9" i="6"/>
  <c r="F14" i="3"/>
  <c r="F15" i="3"/>
  <c r="M5" i="7"/>
  <c r="M7" i="7"/>
  <c r="M9" i="7"/>
  <c r="M10" i="7"/>
  <c r="M11" i="7"/>
  <c r="M13" i="7"/>
  <c r="M14" i="7"/>
  <c r="M16" i="7"/>
  <c r="M17" i="7"/>
  <c r="M18" i="7"/>
  <c r="M19" i="7"/>
  <c r="M20" i="7"/>
  <c r="M21" i="7"/>
  <c r="M23" i="7"/>
  <c r="M24" i="7"/>
  <c r="M27" i="7"/>
  <c r="M28" i="7"/>
  <c r="M29" i="7"/>
  <c r="M30" i="7"/>
  <c r="M4" i="7"/>
  <c r="D4" i="7"/>
  <c r="M8" i="7"/>
  <c r="M26" i="7"/>
  <c r="M25" i="7"/>
  <c r="M6" i="7"/>
  <c r="H11" i="3"/>
  <c r="H12" i="3"/>
  <c r="E15" i="6"/>
  <c r="H13" i="3"/>
  <c r="H14" i="3"/>
  <c r="H15" i="3"/>
  <c r="D20" i="6" l="1"/>
  <c r="D8" i="6"/>
  <c r="D19" i="6"/>
  <c r="D12" i="6"/>
  <c r="E7" i="6"/>
  <c r="H7" i="6" s="1"/>
  <c r="E21" i="6"/>
  <c r="H21" i="6" s="1"/>
  <c r="E20" i="6"/>
  <c r="H20" i="6" s="1"/>
  <c r="E14" i="6"/>
  <c r="H14" i="6" s="1"/>
  <c r="D11" i="6"/>
  <c r="D4" i="6"/>
  <c r="D17" i="6"/>
  <c r="E13" i="6"/>
  <c r="H13" i="6" s="1"/>
  <c r="E8" i="6"/>
  <c r="H8" i="6" s="1"/>
  <c r="E12" i="6"/>
  <c r="H12" i="6" s="1"/>
  <c r="D21" i="6"/>
  <c r="D14" i="6"/>
  <c r="E5" i="6"/>
  <c r="H5" i="6" s="1"/>
  <c r="E9" i="6"/>
  <c r="H9" i="6" s="1"/>
  <c r="E6" i="6"/>
  <c r="H6" i="6" s="1"/>
  <c r="E18" i="6"/>
  <c r="H18" i="6" s="1"/>
  <c r="E4" i="6"/>
  <c r="H4" i="6" s="1"/>
  <c r="E11" i="6"/>
  <c r="H11" i="6" s="1"/>
  <c r="E17" i="6"/>
  <c r="H17" i="6" s="1"/>
  <c r="E22" i="6"/>
  <c r="H22" i="6" s="1"/>
  <c r="E19" i="6"/>
  <c r="H19" i="6" s="1"/>
  <c r="D18" i="6"/>
  <c r="D7" i="6"/>
  <c r="D13" i="6"/>
  <c r="M15" i="7"/>
  <c r="H15" i="6"/>
  <c r="O4" i="7" l="1"/>
  <c r="N7" i="7" l="1"/>
  <c r="O7" i="7"/>
  <c r="N21" i="7"/>
  <c r="O21" i="7"/>
  <c r="N17" i="7"/>
  <c r="O17" i="7"/>
  <c r="N10" i="7"/>
  <c r="O10" i="7"/>
  <c r="N6" i="7"/>
  <c r="O6" i="7"/>
  <c r="N29" i="7"/>
  <c r="O29" i="7"/>
  <c r="N20" i="7"/>
  <c r="O20" i="7"/>
  <c r="N16" i="7"/>
  <c r="O16" i="7"/>
  <c r="N11" i="7"/>
  <c r="O11" i="7"/>
  <c r="N30" i="7"/>
  <c r="O30" i="7"/>
  <c r="N9" i="7"/>
  <c r="O9" i="7"/>
  <c r="N5" i="7"/>
  <c r="O5" i="7"/>
  <c r="N28" i="7"/>
  <c r="O28" i="7"/>
  <c r="N24" i="7"/>
  <c r="O24" i="7"/>
  <c r="N19" i="7"/>
  <c r="O19" i="7"/>
  <c r="N13" i="7"/>
  <c r="O13" i="7"/>
  <c r="N27" i="7"/>
  <c r="O27" i="7"/>
  <c r="N23" i="7"/>
  <c r="O23" i="7"/>
  <c r="N18" i="7"/>
  <c r="O18" i="7"/>
  <c r="N14" i="7"/>
  <c r="O14" i="7"/>
  <c r="N4" i="7"/>
  <c r="J6" i="6" l="1"/>
  <c r="I6" i="6"/>
  <c r="I9" i="6"/>
  <c r="I10" i="6"/>
  <c r="I16" i="6"/>
  <c r="I22" i="6"/>
  <c r="I5" i="6"/>
  <c r="I8" i="6"/>
  <c r="I20" i="6"/>
  <c r="N25" i="7" l="1"/>
  <c r="O25" i="7"/>
  <c r="N26" i="7"/>
  <c r="O26" i="7"/>
  <c r="N8" i="7"/>
  <c r="O8" i="7"/>
  <c r="D35" i="7" s="1"/>
  <c r="I4" i="6"/>
  <c r="I7" i="6"/>
  <c r="I14" i="6"/>
  <c r="J22" i="6"/>
  <c r="J20" i="6"/>
  <c r="J5" i="6"/>
  <c r="J9" i="6"/>
  <c r="J8" i="6"/>
  <c r="C30" i="4" l="1"/>
  <c r="J13" i="6"/>
  <c r="I13" i="6"/>
  <c r="J12" i="6"/>
  <c r="I12" i="6"/>
  <c r="J21" i="6"/>
  <c r="I21" i="6"/>
  <c r="J18" i="6"/>
  <c r="I18" i="6"/>
  <c r="J11" i="6"/>
  <c r="I11" i="6"/>
  <c r="J19" i="6"/>
  <c r="I19" i="6"/>
  <c r="J15" i="6"/>
  <c r="I15" i="6"/>
  <c r="J17" i="6"/>
  <c r="I17" i="6"/>
  <c r="B35" i="7"/>
  <c r="B30" i="4" s="1"/>
  <c r="D49" i="7"/>
  <c r="B49" i="7"/>
  <c r="B32" i="4" s="1"/>
  <c r="J4" i="6"/>
  <c r="N15" i="7"/>
  <c r="O15" i="7"/>
  <c r="D42" i="7" s="1"/>
  <c r="J7" i="6"/>
  <c r="J14" i="6"/>
  <c r="C31" i="4" l="1"/>
  <c r="C32" i="4"/>
  <c r="C41" i="6"/>
  <c r="C27" i="4" s="1"/>
  <c r="L51" i="7"/>
  <c r="S29" i="7" s="1"/>
  <c r="L37" i="7"/>
  <c r="S21" i="7" s="1"/>
  <c r="C34" i="6"/>
  <c r="C26" i="4" s="1"/>
  <c r="D56" i="7"/>
  <c r="B42" i="7"/>
  <c r="B31" i="4" s="1"/>
  <c r="B41" i="6"/>
  <c r="B27" i="6"/>
  <c r="B34" i="6"/>
  <c r="C27" i="6"/>
  <c r="E35" i="7"/>
  <c r="B18" i="9" l="1"/>
  <c r="D18" i="9" s="1"/>
  <c r="B27" i="4"/>
  <c r="C18" i="9"/>
  <c r="C37" i="4" s="1"/>
  <c r="B26" i="4"/>
  <c r="C25" i="4"/>
  <c r="C4" i="9"/>
  <c r="C35" i="4" s="1"/>
  <c r="N29" i="6"/>
  <c r="B25" i="4"/>
  <c r="C11" i="9"/>
  <c r="C36" i="4" s="1"/>
  <c r="Q43" i="7"/>
  <c r="C42" i="7" s="1"/>
  <c r="Q38" i="7"/>
  <c r="Q50" i="7"/>
  <c r="C49" i="7" s="1"/>
  <c r="C48" i="6"/>
  <c r="L44" i="7"/>
  <c r="S25" i="7" s="1"/>
  <c r="S30" i="7"/>
  <c r="E49" i="7" s="1"/>
  <c r="B56" i="7"/>
  <c r="N42" i="6"/>
  <c r="D27" i="6"/>
  <c r="B4" i="9"/>
  <c r="B35" i="4" s="1"/>
  <c r="N35" i="6"/>
  <c r="P20" i="6" s="1"/>
  <c r="B11" i="9"/>
  <c r="S22" i="7"/>
  <c r="B48" i="6"/>
  <c r="P24" i="6" l="1"/>
  <c r="D41" i="6" s="1"/>
  <c r="P17" i="6"/>
  <c r="P16" i="6"/>
  <c r="B37" i="4"/>
  <c r="C25" i="9"/>
  <c r="D11" i="9"/>
  <c r="B36" i="4"/>
  <c r="I4" i="9"/>
  <c r="D4" i="9"/>
  <c r="J4" i="9"/>
  <c r="Q56" i="7"/>
  <c r="C56" i="7" s="1"/>
  <c r="S26" i="7"/>
  <c r="E42" i="7" s="1"/>
  <c r="B25" i="9"/>
  <c r="P25" i="6"/>
  <c r="P21" i="6"/>
  <c r="D34" i="6" s="1"/>
  <c r="D25" i="9" l="1"/>
  <c r="K4" i="9"/>
</calcChain>
</file>

<file path=xl/sharedStrings.xml><?xml version="1.0" encoding="utf-8"?>
<sst xmlns="http://schemas.openxmlformats.org/spreadsheetml/2006/main" count="278" uniqueCount="84">
  <si>
    <t>Traiter des données à des fins décisionnelles</t>
  </si>
  <si>
    <t>PPP1</t>
  </si>
  <si>
    <t>Tableur et Reporting</t>
  </si>
  <si>
    <t>Base de données relationnelle 1</t>
  </si>
  <si>
    <t>Bases de la programmation 1</t>
  </si>
  <si>
    <t>SAE - Création d'un reporting</t>
  </si>
  <si>
    <t>SAE - Gestion de fichiers</t>
  </si>
  <si>
    <t>Analyser statistiquement les données</t>
  </si>
  <si>
    <t>Statistique descriptive 1</t>
  </si>
  <si>
    <t>Probabilités 1</t>
  </si>
  <si>
    <t>Mathématiques 1</t>
  </si>
  <si>
    <t>SAE - Mise en œuvre de l'enquête et exploitation statistique des réponses</t>
  </si>
  <si>
    <t>Valoriser une production dans un contexte professionnel</t>
  </si>
  <si>
    <t>Initiation à l'anglais de spécialité</t>
  </si>
  <si>
    <t>Base de la communication professionnelle</t>
  </si>
  <si>
    <t xml:space="preserve">Découverte des données de l’environnement entrepreneurial et économique </t>
  </si>
  <si>
    <t>SAE - Analyse des données d'un bassin d'emploi</t>
  </si>
  <si>
    <t xml:space="preserve">SAE - Présentation d'un territoire économique et culturel </t>
  </si>
  <si>
    <t>PPP2</t>
  </si>
  <si>
    <t>Base de données relationnelle 2</t>
  </si>
  <si>
    <t>Bases de la programmation 2</t>
  </si>
  <si>
    <t>Programmation statistique</t>
  </si>
  <si>
    <t>Reporting et datavisualisation</t>
  </si>
  <si>
    <t>SAE - Analyse de données, reporting et datavisualisation</t>
  </si>
  <si>
    <t>SAE - Conception et implémentation d'une base de données</t>
  </si>
  <si>
    <t>SAE - Portfolio</t>
  </si>
  <si>
    <t>Statistique descriptive 2</t>
  </si>
  <si>
    <t>Statistique inférentielle</t>
  </si>
  <si>
    <t>Probabilités 2</t>
  </si>
  <si>
    <t>Mathématiques 2</t>
  </si>
  <si>
    <t>SAE - Estimation par sondage</t>
  </si>
  <si>
    <t>SAE - Régression sur des données réelles</t>
  </si>
  <si>
    <t>Approfondissement de l'anglais de spécialité</t>
  </si>
  <si>
    <t>Communication, sémiologie et argumentation</t>
  </si>
  <si>
    <t>Etude des données de l'environnement entrepreneurial et économique</t>
  </si>
  <si>
    <t>SAE - Construction et présentation d’indicateurs de performance</t>
  </si>
  <si>
    <t>SAE - Dataviz</t>
  </si>
  <si>
    <t>Compétence 3 :</t>
  </si>
  <si>
    <t>Compétence 2 :</t>
  </si>
  <si>
    <t>Compétence 1 :</t>
  </si>
  <si>
    <t>Compétences</t>
  </si>
  <si>
    <t>Ressources</t>
  </si>
  <si>
    <t>S1_Valoriser_une_production_dans_un_contexte_professionnel</t>
  </si>
  <si>
    <t>S1_Traiter_des_données_à_des_fins_décisionnelles</t>
  </si>
  <si>
    <t>S2_Analyser_statistiquement_les_données</t>
  </si>
  <si>
    <t>S1_Analyser_statistiquement_les_données</t>
  </si>
  <si>
    <t>S2_Valoriser_une_production_dans_un_contexte_professionnel</t>
  </si>
  <si>
    <t>S2_Traiter_des_données_à_des_fins_décisionnelles</t>
  </si>
  <si>
    <t>note</t>
  </si>
  <si>
    <t>Compétence</t>
  </si>
  <si>
    <t>Ressource</t>
  </si>
  <si>
    <t>Coefficient</t>
  </si>
  <si>
    <t>Coefficient ressource</t>
  </si>
  <si>
    <t>moyenne</t>
  </si>
  <si>
    <t>Colonne1</t>
  </si>
  <si>
    <t xml:space="preserve">Moyenne générale </t>
  </si>
  <si>
    <t xml:space="preserve">Commentaires </t>
  </si>
  <si>
    <t>si superieur à 10</t>
  </si>
  <si>
    <t>entre 8 et 10</t>
  </si>
  <si>
    <t>inferieur à 8</t>
  </si>
  <si>
    <t>Bravo continue comme ça, tu as atteint la moyenne !</t>
  </si>
  <si>
    <t>moyenne de classe</t>
  </si>
  <si>
    <t>Colonne2</t>
  </si>
  <si>
    <t>n° note</t>
  </si>
  <si>
    <t xml:space="preserve">Compétences </t>
  </si>
  <si>
    <t xml:space="preserve">Ressources </t>
  </si>
  <si>
    <t xml:space="preserve">Evolution </t>
  </si>
  <si>
    <t>Semestre 2 Bulletin</t>
  </si>
  <si>
    <t xml:space="preserve"> Semestre 1 Bulletin</t>
  </si>
  <si>
    <t xml:space="preserve"> Semestre 1 Relevé de note</t>
  </si>
  <si>
    <t xml:space="preserve"> Semestre 2 Relevé de note</t>
  </si>
  <si>
    <t>Test: aucun bloc &lt;8</t>
  </si>
  <si>
    <t>nombre de bloc&gt;=8</t>
  </si>
  <si>
    <t>Passage autorisé</t>
  </si>
  <si>
    <t xml:space="preserve">Niveau 1 </t>
  </si>
  <si>
    <t>Semestre1</t>
  </si>
  <si>
    <t>Semestre2</t>
  </si>
  <si>
    <t>Moyenne de classe</t>
  </si>
  <si>
    <t>Moyenne</t>
  </si>
  <si>
    <t>année</t>
  </si>
  <si>
    <t>Passage en deuxième année</t>
  </si>
  <si>
    <t>Guide d'utilisation de l'application</t>
  </si>
  <si>
    <t xml:space="preserve"> </t>
  </si>
  <si>
    <t>n°note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</si>
</sst>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0000"/>
  </numFmts>
  <fonts count="31" x14ac:knownFonts="1">
    <font>
      <sz val="11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i/>
      <sz val="11"/>
      <color rgb="FF000000"/>
      <name val="Calibri"/>
      <family val="2"/>
      <scheme val="minor"/>
    </font>
    <font>
      <i/>
      <sz val="11"/>
      <color rgb="FF000000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2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4"/>
      <color rgb="FF00000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20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26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8CBAD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0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/>
        <bgColor indexed="64"/>
      </patternFill>
    </fill>
    <fill>
      <patternFill patternType="solid">
        <fgColor indexed="10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18" borderId="0" applyNumberFormat="0" applyBorder="0" applyAlignment="0" applyProtection="0"/>
  </cellStyleXfs>
  <cellXfs count="219">
    <xf numFmtId="0" fontId="0" fillId="0" borderId="0" xfId="0"/>
    <xf numFmtId="0" fontId="2" fillId="2" borderId="3" xfId="0" applyFont="1" applyFill="1" applyBorder="1" applyAlignment="1">
      <alignment horizontal="left" vertical="center" wrapText="1"/>
    </xf>
    <xf numFmtId="0" fontId="2" fillId="2" borderId="4" xfId="0" applyFont="1" applyFill="1" applyBorder="1" applyAlignment="1">
      <alignment horizontal="left" vertical="center" wrapText="1"/>
    </xf>
    <xf numFmtId="0" fontId="3" fillId="3" borderId="2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0" fontId="2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/>
    </xf>
    <xf numFmtId="0" fontId="2" fillId="4" borderId="3" xfId="0" applyFont="1" applyFill="1" applyBorder="1" applyAlignment="1">
      <alignment horizontal="left" vertical="center" wrapText="1"/>
    </xf>
    <xf numFmtId="0" fontId="2" fillId="4" borderId="4" xfId="0" applyFont="1" applyFill="1" applyBorder="1" applyAlignment="1">
      <alignment horizontal="left" vertical="center" wrapText="1"/>
    </xf>
    <xf numFmtId="0" fontId="3" fillId="4" borderId="2" xfId="0" applyFont="1" applyFill="1" applyBorder="1" applyAlignment="1">
      <alignment vertical="center"/>
    </xf>
    <xf numFmtId="0" fontId="3" fillId="0" borderId="0" xfId="0" applyFont="1" applyAlignment="1">
      <alignment vertical="center"/>
    </xf>
    <xf numFmtId="0" fontId="2" fillId="5" borderId="3" xfId="0" applyFont="1" applyFill="1" applyBorder="1" applyAlignment="1">
      <alignment horizontal="left" vertical="center" wrapText="1"/>
    </xf>
    <xf numFmtId="0" fontId="2" fillId="5" borderId="4" xfId="0" applyFont="1" applyFill="1" applyBorder="1" applyAlignment="1">
      <alignment horizontal="left" vertical="center" wrapText="1"/>
    </xf>
    <xf numFmtId="0" fontId="3" fillId="3" borderId="2" xfId="0" applyFont="1" applyFill="1" applyBorder="1" applyAlignment="1">
      <alignment vertical="center" wrapText="1"/>
    </xf>
    <xf numFmtId="0" fontId="3" fillId="5" borderId="2" xfId="0" applyFont="1" applyFill="1" applyBorder="1" applyAlignment="1">
      <alignment vertical="center"/>
    </xf>
    <xf numFmtId="0" fontId="3" fillId="5" borderId="2" xfId="0" applyFont="1" applyFill="1" applyBorder="1" applyAlignment="1">
      <alignment vertical="center" wrapText="1"/>
    </xf>
    <xf numFmtId="0" fontId="3" fillId="2" borderId="2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vertical="center"/>
    </xf>
    <xf numFmtId="0" fontId="3" fillId="5" borderId="2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/>
    </xf>
    <xf numFmtId="0" fontId="0" fillId="0" borderId="2" xfId="0" applyBorder="1"/>
    <xf numFmtId="0" fontId="6" fillId="6" borderId="2" xfId="0" applyFont="1" applyFill="1" applyBorder="1"/>
    <xf numFmtId="0" fontId="0" fillId="6" borderId="2" xfId="0" applyFill="1" applyBorder="1"/>
    <xf numFmtId="0" fontId="7" fillId="8" borderId="8" xfId="0" applyFont="1" applyFill="1" applyBorder="1"/>
    <xf numFmtId="0" fontId="3" fillId="9" borderId="2" xfId="0" applyFont="1" applyFill="1" applyBorder="1" applyAlignment="1">
      <alignment vertical="center"/>
    </xf>
    <xf numFmtId="0" fontId="3" fillId="9" borderId="2" xfId="0" applyFont="1" applyFill="1" applyBorder="1" applyAlignment="1">
      <alignment vertical="center" wrapText="1"/>
    </xf>
    <xf numFmtId="164" fontId="0" fillId="0" borderId="0" xfId="0" applyNumberFormat="1"/>
    <xf numFmtId="0" fontId="1" fillId="0" borderId="2" xfId="0" applyFont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5" fillId="3" borderId="2" xfId="0" applyFont="1" applyFill="1" applyBorder="1" applyAlignment="1">
      <alignment vertical="center" wrapText="1"/>
    </xf>
    <xf numFmtId="2" fontId="2" fillId="0" borderId="0" xfId="0" applyNumberFormat="1" applyFont="1" applyAlignment="1">
      <alignment horizontal="left" vertical="center" wrapText="1"/>
    </xf>
    <xf numFmtId="2" fontId="2" fillId="4" borderId="3" xfId="0" applyNumberFormat="1" applyFont="1" applyFill="1" applyBorder="1" applyAlignment="1">
      <alignment horizontal="left" vertical="center" wrapText="1"/>
    </xf>
    <xf numFmtId="2" fontId="2" fillId="4" borderId="4" xfId="0" applyNumberFormat="1" applyFont="1" applyFill="1" applyBorder="1" applyAlignment="1">
      <alignment horizontal="left" vertical="center" wrapText="1"/>
    </xf>
    <xf numFmtId="2" fontId="2" fillId="5" borderId="3" xfId="0" applyNumberFormat="1" applyFont="1" applyFill="1" applyBorder="1" applyAlignment="1">
      <alignment horizontal="left" vertical="center" wrapText="1"/>
    </xf>
    <xf numFmtId="2" fontId="2" fillId="5" borderId="4" xfId="0" applyNumberFormat="1" applyFont="1" applyFill="1" applyBorder="1" applyAlignment="1">
      <alignment horizontal="left" vertical="center" wrapText="1"/>
    </xf>
    <xf numFmtId="2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1" fillId="0" borderId="6" xfId="0" applyFont="1" applyFill="1" applyBorder="1" applyAlignment="1">
      <alignment horizontal="center"/>
    </xf>
    <xf numFmtId="0" fontId="4" fillId="12" borderId="2" xfId="0" applyFont="1" applyFill="1" applyBorder="1" applyAlignment="1">
      <alignment horizontal="center" vertical="center" wrapText="1"/>
    </xf>
    <xf numFmtId="0" fontId="4" fillId="12" borderId="2" xfId="0" applyFont="1" applyFill="1" applyBorder="1" applyAlignment="1">
      <alignment horizontal="center" vertical="center"/>
    </xf>
    <xf numFmtId="0" fontId="4" fillId="12" borderId="5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vertical="center" wrapText="1"/>
    </xf>
    <xf numFmtId="2" fontId="2" fillId="4" borderId="3" xfId="0" applyNumberFormat="1" applyFont="1" applyFill="1" applyBorder="1" applyAlignment="1">
      <alignment vertical="center" wrapText="1"/>
    </xf>
    <xf numFmtId="2" fontId="2" fillId="5" borderId="3" xfId="0" applyNumberFormat="1" applyFont="1" applyFill="1" applyBorder="1" applyAlignment="1">
      <alignment vertical="center" wrapText="1"/>
    </xf>
    <xf numFmtId="2" fontId="0" fillId="13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2" fontId="0" fillId="11" borderId="2" xfId="0" applyNumberFormat="1" applyFill="1" applyBorder="1" applyAlignment="1">
      <alignment horizontal="center"/>
    </xf>
    <xf numFmtId="2" fontId="0" fillId="6" borderId="2" xfId="0" applyNumberFormat="1" applyFill="1" applyBorder="1" applyAlignment="1">
      <alignment horizontal="center"/>
    </xf>
    <xf numFmtId="0" fontId="3" fillId="12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vertical="center"/>
    </xf>
    <xf numFmtId="0" fontId="3" fillId="12" borderId="2" xfId="0" applyFont="1" applyFill="1" applyBorder="1" applyAlignment="1">
      <alignment horizontal="center" vertical="center" wrapText="1"/>
    </xf>
    <xf numFmtId="0" fontId="0" fillId="13" borderId="2" xfId="0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0" fillId="11" borderId="2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0" borderId="0" xfId="0" applyNumberFormat="1"/>
    <xf numFmtId="2" fontId="0" fillId="0" borderId="0" xfId="0" applyNumberFormat="1"/>
    <xf numFmtId="0" fontId="5" fillId="12" borderId="5" xfId="0" applyFont="1" applyFill="1" applyBorder="1" applyAlignment="1">
      <alignment vertical="center"/>
    </xf>
    <xf numFmtId="0" fontId="5" fillId="12" borderId="2" xfId="0" applyFont="1" applyFill="1" applyBorder="1" applyAlignment="1">
      <alignment vertical="center"/>
    </xf>
    <xf numFmtId="0" fontId="5" fillId="14" borderId="2" xfId="0" applyFont="1" applyFill="1" applyBorder="1" applyAlignment="1">
      <alignment vertical="center"/>
    </xf>
    <xf numFmtId="0" fontId="4" fillId="14" borderId="2" xfId="0" applyFont="1" applyFill="1" applyBorder="1" applyAlignment="1">
      <alignment horizontal="center" vertical="center"/>
    </xf>
    <xf numFmtId="0" fontId="5" fillId="14" borderId="2" xfId="0" applyFont="1" applyFill="1" applyBorder="1" applyAlignment="1">
      <alignment vertical="center" wrapText="1"/>
    </xf>
    <xf numFmtId="0" fontId="5" fillId="15" borderId="2" xfId="0" applyFont="1" applyFill="1" applyBorder="1" applyAlignment="1">
      <alignment vertical="center"/>
    </xf>
    <xf numFmtId="0" fontId="4" fillId="15" borderId="2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vertical="center" wrapText="1"/>
    </xf>
    <xf numFmtId="0" fontId="5" fillId="16" borderId="2" xfId="0" applyFont="1" applyFill="1" applyBorder="1" applyAlignment="1">
      <alignment vertical="center"/>
    </xf>
    <xf numFmtId="0" fontId="4" fillId="16" borderId="2" xfId="0" applyFont="1" applyFill="1" applyBorder="1" applyAlignment="1">
      <alignment horizontal="center" vertical="center"/>
    </xf>
    <xf numFmtId="0" fontId="5" fillId="16" borderId="2" xfId="0" applyFont="1" applyFill="1" applyBorder="1" applyAlignment="1">
      <alignment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0" fillId="13" borderId="2" xfId="0" applyFill="1" applyBorder="1"/>
    <xf numFmtId="0" fontId="0" fillId="10" borderId="2" xfId="0" applyFill="1" applyBorder="1"/>
    <xf numFmtId="0" fontId="0" fillId="11" borderId="2" xfId="0" applyFill="1" applyBorder="1"/>
    <xf numFmtId="165" fontId="0" fillId="0" borderId="0" xfId="0" applyNumberFormat="1"/>
    <xf numFmtId="0" fontId="0" fillId="17" borderId="6" xfId="0" applyFill="1" applyBorder="1"/>
    <xf numFmtId="0" fontId="0" fillId="0" borderId="0" xfId="0" applyFont="1" applyBorder="1" applyAlignment="1">
      <alignment horizontal="center"/>
    </xf>
    <xf numFmtId="0" fontId="6" fillId="0" borderId="0" xfId="0" applyFont="1" applyBorder="1"/>
    <xf numFmtId="0" fontId="0" fillId="0" borderId="0" xfId="0" applyBorder="1"/>
    <xf numFmtId="0" fontId="0" fillId="0" borderId="0" xfId="0" applyNumberFormat="1" applyBorder="1"/>
    <xf numFmtId="0" fontId="7" fillId="8" borderId="23" xfId="0" applyFont="1" applyFill="1" applyBorder="1"/>
    <xf numFmtId="0" fontId="0" fillId="19" borderId="0" xfId="0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0" fontId="16" fillId="0" borderId="0" xfId="0" applyFont="1"/>
    <xf numFmtId="0" fontId="12" fillId="0" borderId="0" xfId="0" applyFont="1"/>
    <xf numFmtId="0" fontId="20" fillId="2" borderId="3" xfId="0" applyFont="1" applyFill="1" applyBorder="1" applyAlignment="1">
      <alignment vertical="center" wrapText="1"/>
    </xf>
    <xf numFmtId="2" fontId="20" fillId="0" borderId="0" xfId="0" applyNumberFormat="1" applyFont="1" applyAlignment="1">
      <alignment horizontal="left" vertical="center" wrapText="1"/>
    </xf>
    <xf numFmtId="2" fontId="20" fillId="4" borderId="3" xfId="0" applyNumberFormat="1" applyFont="1" applyFill="1" applyBorder="1" applyAlignment="1">
      <alignment vertical="center" wrapText="1"/>
    </xf>
    <xf numFmtId="2" fontId="20" fillId="5" borderId="3" xfId="0" applyNumberFormat="1" applyFont="1" applyFill="1" applyBorder="1" applyAlignment="1">
      <alignment vertical="center" wrapText="1"/>
    </xf>
    <xf numFmtId="2" fontId="0" fillId="13" borderId="5" xfId="0" applyNumberFormat="1" applyFill="1" applyBorder="1" applyAlignment="1">
      <alignment horizontal="center"/>
    </xf>
    <xf numFmtId="0" fontId="0" fillId="13" borderId="5" xfId="0" applyFill="1" applyBorder="1"/>
    <xf numFmtId="0" fontId="17" fillId="20" borderId="0" xfId="0" applyFont="1" applyFill="1" applyBorder="1"/>
    <xf numFmtId="0" fontId="0" fillId="11" borderId="3" xfId="0" applyFill="1" applyBorder="1"/>
    <xf numFmtId="0" fontId="0" fillId="20" borderId="20" xfId="0" applyFill="1" applyBorder="1"/>
    <xf numFmtId="2" fontId="0" fillId="20" borderId="0" xfId="0" applyNumberFormat="1" applyFill="1" applyBorder="1" applyAlignment="1">
      <alignment horizontal="center"/>
    </xf>
    <xf numFmtId="2" fontId="0" fillId="20" borderId="1" xfId="0" applyNumberFormat="1" applyFill="1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20" borderId="19" xfId="0" applyFill="1" applyBorder="1"/>
    <xf numFmtId="0" fontId="0" fillId="20" borderId="19" xfId="0" applyFill="1" applyBorder="1" applyAlignment="1">
      <alignment horizontal="center"/>
    </xf>
    <xf numFmtId="0" fontId="22" fillId="0" borderId="0" xfId="0" applyFont="1"/>
    <xf numFmtId="0" fontId="6" fillId="0" borderId="0" xfId="0" applyFont="1"/>
    <xf numFmtId="0" fontId="10" fillId="0" borderId="2" xfId="0" applyFont="1" applyBorder="1" applyAlignment="1">
      <alignment horizontal="center"/>
    </xf>
    <xf numFmtId="0" fontId="10" fillId="0" borderId="2" xfId="0" applyFont="1" applyBorder="1" applyAlignment="1">
      <alignment horizontal="center" vertical="center"/>
    </xf>
    <xf numFmtId="0" fontId="24" fillId="0" borderId="6" xfId="0" applyFont="1" applyFill="1" applyBorder="1" applyAlignment="1">
      <alignment horizontal="center"/>
    </xf>
    <xf numFmtId="0" fontId="25" fillId="0" borderId="6" xfId="0" applyFont="1" applyBorder="1" applyAlignment="1">
      <alignment horizontal="center" vertical="center"/>
    </xf>
    <xf numFmtId="0" fontId="25" fillId="0" borderId="2" xfId="0" applyFont="1" applyFill="1" applyBorder="1" applyAlignment="1">
      <alignment horizontal="center"/>
    </xf>
    <xf numFmtId="0" fontId="24" fillId="0" borderId="2" xfId="0" applyFont="1" applyFill="1" applyBorder="1" applyAlignment="1">
      <alignment horizontal="center"/>
    </xf>
    <xf numFmtId="0" fontId="2" fillId="2" borderId="2" xfId="0" applyFont="1" applyFill="1" applyBorder="1" applyAlignment="1">
      <alignment vertical="top" wrapText="1"/>
    </xf>
    <xf numFmtId="2" fontId="0" fillId="0" borderId="2" xfId="0" applyNumberFormat="1" applyBorder="1"/>
    <xf numFmtId="2" fontId="2" fillId="4" borderId="2" xfId="0" applyNumberFormat="1" applyFont="1" applyFill="1" applyBorder="1" applyAlignment="1">
      <alignment vertical="top" wrapText="1"/>
    </xf>
    <xf numFmtId="2" fontId="2" fillId="5" borderId="2" xfId="0" applyNumberFormat="1" applyFont="1" applyFill="1" applyBorder="1" applyAlignment="1">
      <alignment vertical="top" wrapText="1"/>
    </xf>
    <xf numFmtId="0" fontId="25" fillId="0" borderId="6" xfId="0" applyFont="1" applyFill="1" applyBorder="1" applyAlignment="1">
      <alignment horizontal="center"/>
    </xf>
    <xf numFmtId="0" fontId="0" fillId="0" borderId="7" xfId="0" applyFill="1" applyBorder="1" applyProtection="1">
      <protection locked="0"/>
    </xf>
    <xf numFmtId="0" fontId="0" fillId="0" borderId="0" xfId="0" applyProtection="1">
      <protection locked="0"/>
    </xf>
    <xf numFmtId="0" fontId="23" fillId="7" borderId="6" xfId="0" applyFont="1" applyFill="1" applyBorder="1" applyProtection="1">
      <protection locked="0"/>
    </xf>
    <xf numFmtId="0" fontId="28" fillId="0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7" fillId="8" borderId="0" xfId="0" applyFont="1" applyFill="1" applyBorder="1" applyAlignment="1">
      <alignment vertical="center"/>
    </xf>
    <xf numFmtId="0" fontId="27" fillId="0" borderId="0" xfId="0" applyFont="1" applyAlignment="1">
      <alignment horizontal="center"/>
    </xf>
    <xf numFmtId="0" fontId="0" fillId="0" borderId="0" xfId="0" applyAlignment="1">
      <alignment horizontal="center"/>
    </xf>
    <xf numFmtId="2" fontId="2" fillId="4" borderId="4" xfId="0" applyNumberFormat="1" applyFont="1" applyFill="1" applyBorder="1" applyAlignment="1">
      <alignment horizontal="left" vertical="top" wrapText="1"/>
    </xf>
    <xf numFmtId="2" fontId="2" fillId="4" borderId="5" xfId="0" applyNumberFormat="1" applyFont="1" applyFill="1" applyBorder="1" applyAlignment="1">
      <alignment horizontal="left" vertical="top" wrapText="1"/>
    </xf>
    <xf numFmtId="0" fontId="10" fillId="0" borderId="13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2" fontId="10" fillId="0" borderId="11" xfId="0" applyNumberFormat="1" applyFont="1" applyBorder="1" applyAlignment="1">
      <alignment horizontal="center" vertical="center"/>
    </xf>
    <xf numFmtId="2" fontId="10" fillId="0" borderId="12" xfId="0" applyNumberFormat="1" applyFont="1" applyBorder="1" applyAlignment="1">
      <alignment horizontal="center" vertical="center"/>
    </xf>
    <xf numFmtId="2" fontId="11" fillId="0" borderId="9" xfId="0" applyNumberFormat="1" applyFont="1" applyBorder="1" applyAlignment="1">
      <alignment horizontal="center" vertical="center"/>
    </xf>
    <xf numFmtId="2" fontId="11" fillId="0" borderId="10" xfId="0" applyNumberFormat="1" applyFont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 wrapText="1"/>
    </xf>
    <xf numFmtId="0" fontId="12" fillId="0" borderId="9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2" fontId="2" fillId="5" borderId="4" xfId="0" applyNumberFormat="1" applyFont="1" applyFill="1" applyBorder="1" applyAlignment="1">
      <alignment horizontal="left" vertical="top" wrapText="1"/>
    </xf>
    <xf numFmtId="2" fontId="2" fillId="5" borderId="5" xfId="0" applyNumberFormat="1" applyFont="1" applyFill="1" applyBorder="1" applyAlignment="1">
      <alignment horizontal="left" vertical="top" wrapText="1"/>
    </xf>
    <xf numFmtId="2" fontId="11" fillId="0" borderId="3" xfId="0" applyNumberFormat="1" applyFont="1" applyBorder="1" applyAlignment="1">
      <alignment horizontal="center" vertical="center"/>
    </xf>
    <xf numFmtId="2" fontId="11" fillId="0" borderId="4" xfId="0" applyNumberFormat="1" applyFont="1" applyBorder="1" applyAlignment="1">
      <alignment horizontal="center" vertical="center"/>
    </xf>
    <xf numFmtId="2" fontId="11" fillId="0" borderId="5" xfId="0" applyNumberFormat="1" applyFont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2" fontId="9" fillId="2" borderId="4" xfId="0" applyNumberFormat="1" applyFont="1" applyFill="1" applyBorder="1" applyAlignment="1">
      <alignment horizontal="center" vertical="center" wrapText="1"/>
    </xf>
    <xf numFmtId="2" fontId="9" fillId="2" borderId="5" xfId="0" applyNumberFormat="1" applyFont="1" applyFill="1" applyBorder="1" applyAlignment="1">
      <alignment horizontal="center" vertical="center" wrapText="1"/>
    </xf>
    <xf numFmtId="2" fontId="9" fillId="4" borderId="4" xfId="0" applyNumberFormat="1" applyFont="1" applyFill="1" applyBorder="1" applyAlignment="1">
      <alignment horizontal="center" vertical="center" wrapText="1"/>
    </xf>
    <xf numFmtId="2" fontId="9" fillId="4" borderId="5" xfId="0" applyNumberFormat="1" applyFont="1" applyFill="1" applyBorder="1" applyAlignment="1">
      <alignment horizontal="center" vertical="center" wrapText="1"/>
    </xf>
    <xf numFmtId="2" fontId="9" fillId="5" borderId="4" xfId="0" applyNumberFormat="1" applyFont="1" applyFill="1" applyBorder="1" applyAlignment="1">
      <alignment horizontal="center" vertical="center" wrapText="1"/>
    </xf>
    <xf numFmtId="2" fontId="9" fillId="5" borderId="5" xfId="0" applyNumberFormat="1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left" vertical="top" wrapText="1"/>
    </xf>
    <xf numFmtId="0" fontId="2" fillId="2" borderId="5" xfId="0" applyFont="1" applyFill="1" applyBorder="1" applyAlignment="1">
      <alignment horizontal="left" vertical="top" wrapText="1"/>
    </xf>
    <xf numFmtId="0" fontId="10" fillId="0" borderId="2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" fontId="19" fillId="0" borderId="26" xfId="0" applyNumberFormat="1" applyFont="1" applyBorder="1" applyAlignment="1">
      <alignment horizontal="center" vertical="center"/>
    </xf>
    <xf numFmtId="2" fontId="19" fillId="0" borderId="27" xfId="0" applyNumberFormat="1" applyFont="1" applyBorder="1" applyAlignment="1">
      <alignment horizontal="center" vertical="center"/>
    </xf>
    <xf numFmtId="2" fontId="11" fillId="0" borderId="21" xfId="0" applyNumberFormat="1" applyFont="1" applyBorder="1" applyAlignment="1">
      <alignment horizontal="center" vertical="center"/>
    </xf>
    <xf numFmtId="2" fontId="11" fillId="0" borderId="22" xfId="0" applyNumberFormat="1" applyFont="1" applyBorder="1" applyAlignment="1">
      <alignment horizontal="center" vertical="center"/>
    </xf>
    <xf numFmtId="2" fontId="2" fillId="2" borderId="4" xfId="0" applyNumberFormat="1" applyFont="1" applyFill="1" applyBorder="1" applyAlignment="1">
      <alignment horizontal="center" vertical="center" wrapText="1"/>
    </xf>
    <xf numFmtId="2" fontId="2" fillId="2" borderId="5" xfId="0" applyNumberFormat="1" applyFont="1" applyFill="1" applyBorder="1" applyAlignment="1">
      <alignment horizontal="center" vertical="center" wrapText="1"/>
    </xf>
    <xf numFmtId="2" fontId="2" fillId="4" borderId="4" xfId="0" applyNumberFormat="1" applyFont="1" applyFill="1" applyBorder="1" applyAlignment="1">
      <alignment horizontal="center" vertical="center" wrapText="1"/>
    </xf>
    <xf numFmtId="2" fontId="2" fillId="4" borderId="5" xfId="0" applyNumberFormat="1" applyFont="1" applyFill="1" applyBorder="1" applyAlignment="1">
      <alignment horizontal="center" vertical="center" wrapText="1"/>
    </xf>
    <xf numFmtId="2" fontId="2" fillId="5" borderId="4" xfId="0" applyNumberFormat="1" applyFont="1" applyFill="1" applyBorder="1" applyAlignment="1">
      <alignment horizontal="center" vertical="center" wrapText="1"/>
    </xf>
    <xf numFmtId="2" fontId="2" fillId="5" borderId="5" xfId="0" applyNumberFormat="1" applyFont="1" applyFill="1" applyBorder="1" applyAlignment="1">
      <alignment horizontal="center" vertical="center" wrapText="1"/>
    </xf>
    <xf numFmtId="2" fontId="19" fillId="0" borderId="3" xfId="0" applyNumberFormat="1" applyFont="1" applyBorder="1" applyAlignment="1">
      <alignment horizontal="center" vertical="center"/>
    </xf>
    <xf numFmtId="2" fontId="19" fillId="0" borderId="4" xfId="0" applyNumberFormat="1" applyFont="1" applyBorder="1" applyAlignment="1">
      <alignment horizontal="center" vertical="center"/>
    </xf>
    <xf numFmtId="2" fontId="19" fillId="0" borderId="5" xfId="0" applyNumberFormat="1" applyFont="1" applyBorder="1" applyAlignment="1">
      <alignment horizontal="center" vertical="center"/>
    </xf>
    <xf numFmtId="0" fontId="20" fillId="2" borderId="4" xfId="0" applyFont="1" applyFill="1" applyBorder="1" applyAlignment="1">
      <alignment horizontal="left" vertical="top" wrapText="1"/>
    </xf>
    <xf numFmtId="0" fontId="20" fillId="2" borderId="5" xfId="0" applyFont="1" applyFill="1" applyBorder="1" applyAlignment="1">
      <alignment horizontal="left" vertical="top" wrapText="1"/>
    </xf>
    <xf numFmtId="2" fontId="19" fillId="0" borderId="24" xfId="0" applyNumberFormat="1" applyFont="1" applyBorder="1" applyAlignment="1">
      <alignment horizontal="center" vertical="center"/>
    </xf>
    <xf numFmtId="2" fontId="19" fillId="0" borderId="25" xfId="0" applyNumberFormat="1" applyFont="1" applyBorder="1" applyAlignment="1">
      <alignment horizontal="center" vertical="center"/>
    </xf>
    <xf numFmtId="2" fontId="20" fillId="4" borderId="4" xfId="0" applyNumberFormat="1" applyFont="1" applyFill="1" applyBorder="1" applyAlignment="1">
      <alignment horizontal="left" vertical="top" wrapText="1"/>
    </xf>
    <xf numFmtId="2" fontId="20" fillId="4" borderId="5" xfId="0" applyNumberFormat="1" applyFont="1" applyFill="1" applyBorder="1" applyAlignment="1">
      <alignment horizontal="left" vertical="top" wrapText="1"/>
    </xf>
    <xf numFmtId="2" fontId="19" fillId="0" borderId="9" xfId="0" applyNumberFormat="1" applyFont="1" applyBorder="1" applyAlignment="1">
      <alignment horizontal="center" vertical="center"/>
    </xf>
    <xf numFmtId="2" fontId="19" fillId="0" borderId="10" xfId="0" applyNumberFormat="1" applyFont="1" applyBorder="1" applyAlignment="1">
      <alignment horizontal="center" vertical="center"/>
    </xf>
    <xf numFmtId="2" fontId="19" fillId="0" borderId="15" xfId="0" applyNumberFormat="1" applyFont="1" applyBorder="1" applyAlignment="1">
      <alignment horizontal="center" vertical="center"/>
    </xf>
    <xf numFmtId="2" fontId="20" fillId="5" borderId="4" xfId="0" applyNumberFormat="1" applyFont="1" applyFill="1" applyBorder="1" applyAlignment="1">
      <alignment horizontal="left" vertical="top" wrapText="1"/>
    </xf>
    <xf numFmtId="2" fontId="20" fillId="5" borderId="5" xfId="0" applyNumberFormat="1" applyFont="1" applyFill="1" applyBorder="1" applyAlignment="1">
      <alignment horizontal="left" vertical="top" wrapText="1"/>
    </xf>
    <xf numFmtId="0" fontId="21" fillId="0" borderId="0" xfId="0" applyFont="1" applyAlignment="1">
      <alignment horizontal="center" vertical="center"/>
    </xf>
    <xf numFmtId="0" fontId="13" fillId="0" borderId="9" xfId="0" applyFont="1" applyBorder="1" applyAlignment="1">
      <alignment horizontal="center" vertical="center" wrapText="1"/>
    </xf>
    <xf numFmtId="0" fontId="13" fillId="0" borderId="20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13" fillId="0" borderId="17" xfId="0" applyFont="1" applyBorder="1" applyAlignment="1">
      <alignment horizontal="center" vertical="center" wrapText="1"/>
    </xf>
    <xf numFmtId="0" fontId="13" fillId="0" borderId="15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0" fontId="13" fillId="0" borderId="18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2" fontId="18" fillId="18" borderId="3" xfId="1" applyNumberFormat="1" applyFont="1" applyBorder="1" applyAlignment="1">
      <alignment horizontal="center" vertical="center"/>
    </xf>
    <xf numFmtId="2" fontId="18" fillId="18" borderId="4" xfId="1" applyNumberFormat="1" applyFont="1" applyBorder="1" applyAlignment="1">
      <alignment horizontal="center" vertical="center"/>
    </xf>
    <xf numFmtId="2" fontId="18" fillId="18" borderId="5" xfId="1" applyNumberFormat="1" applyFont="1" applyBorder="1" applyAlignment="1">
      <alignment horizontal="center" vertical="center"/>
    </xf>
    <xf numFmtId="0" fontId="14" fillId="21" borderId="0" xfId="0" applyFont="1" applyFill="1" applyAlignment="1">
      <alignment horizontal="center" vertical="center"/>
    </xf>
    <xf numFmtId="2" fontId="15" fillId="0" borderId="9" xfId="0" applyNumberFormat="1" applyFont="1" applyBorder="1" applyAlignment="1">
      <alignment horizontal="center" vertical="center"/>
    </xf>
    <xf numFmtId="2" fontId="15" fillId="0" borderId="10" xfId="0" applyNumberFormat="1" applyFont="1" applyBorder="1" applyAlignment="1">
      <alignment horizontal="center" vertical="center"/>
    </xf>
    <xf numFmtId="2" fontId="15" fillId="0" borderId="15" xfId="0" applyNumberFormat="1" applyFont="1" applyBorder="1" applyAlignment="1">
      <alignment horizontal="center" vertical="center"/>
    </xf>
    <xf numFmtId="2" fontId="15" fillId="0" borderId="2" xfId="0" applyNumberFormat="1" applyFont="1" applyBorder="1" applyAlignment="1">
      <alignment horizontal="center" vertical="center"/>
    </xf>
    <xf numFmtId="2" fontId="10" fillId="0" borderId="21" xfId="0" applyNumberFormat="1" applyFont="1" applyBorder="1" applyAlignment="1">
      <alignment horizontal="center" vertical="center"/>
    </xf>
    <xf numFmtId="2" fontId="10" fillId="0" borderId="22" xfId="0" applyNumberFormat="1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22" xfId="0" applyFont="1" applyBorder="1" applyAlignment="1">
      <alignment horizontal="center" vertical="center"/>
    </xf>
    <xf numFmtId="0" fontId="30" fillId="0" borderId="4" xfId="0" applyFont="1" applyBorder="1" applyAlignment="1">
      <alignment horizontal="center" vertical="center"/>
    </xf>
    <xf numFmtId="0" fontId="30" fillId="0" borderId="5" xfId="0" applyFont="1" applyBorder="1" applyAlignment="1">
      <alignment horizontal="center" vertical="center"/>
    </xf>
    <xf numFmtId="0" fontId="30" fillId="0" borderId="3" xfId="0" applyFont="1" applyBorder="1" applyAlignment="1">
      <alignment horizontal="center" vertical="center"/>
    </xf>
    <xf numFmtId="0" fontId="14" fillId="0" borderId="0" xfId="0" applyFont="1" applyAlignment="1">
      <alignment horizontal="center"/>
    </xf>
    <xf numFmtId="2" fontId="26" fillId="0" borderId="3" xfId="0" applyNumberFormat="1" applyFont="1" applyBorder="1" applyAlignment="1">
      <alignment horizontal="center" vertical="center"/>
    </xf>
    <xf numFmtId="2" fontId="26" fillId="0" borderId="4" xfId="0" applyNumberFormat="1" applyFont="1" applyBorder="1" applyAlignment="1">
      <alignment horizontal="center" vertical="center"/>
    </xf>
    <xf numFmtId="2" fontId="26" fillId="0" borderId="5" xfId="0" applyNumberFormat="1" applyFont="1" applyBorder="1" applyAlignment="1">
      <alignment horizontal="center" vertical="center"/>
    </xf>
    <xf numFmtId="2" fontId="15" fillId="0" borderId="3" xfId="0" applyNumberFormat="1" applyFont="1" applyBorder="1" applyAlignment="1">
      <alignment horizontal="center" vertical="center"/>
    </xf>
    <xf numFmtId="2" fontId="15" fillId="0" borderId="4" xfId="0" applyNumberFormat="1" applyFont="1" applyBorder="1" applyAlignment="1">
      <alignment horizontal="center" vertical="center"/>
    </xf>
    <xf numFmtId="2" fontId="15" fillId="0" borderId="5" xfId="0" applyNumberFormat="1" applyFont="1" applyBorder="1" applyAlignment="1">
      <alignment horizontal="center" vertical="center"/>
    </xf>
  </cellXfs>
  <cellStyles count="2">
    <cellStyle name="40 % - Accent1" xfId="1" builtinId="31"/>
    <cellStyle name="Normal" xfId="0" builtinId="0"/>
  </cellStyles>
  <dxfs count="31">
    <dxf>
      <font>
        <color theme="9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theme="5"/>
      </font>
      <fill>
        <patternFill patternType="none">
          <bgColor auto="1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rgb="FFBD152D"/>
        </patternFill>
      </fill>
    </dxf>
    <dxf>
      <font>
        <color theme="9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top style="medium">
          <color theme="1"/>
        </top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6"/>
          <bgColor theme="6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theme="9"/>
      </font>
      <fill>
        <patternFill patternType="none">
          <bgColor auto="1"/>
        </patternFill>
      </fill>
    </dxf>
    <dxf>
      <font>
        <color theme="5"/>
      </font>
      <fill>
        <patternFill patternType="none">
          <bgColor auto="1"/>
        </patternFill>
      </fill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color theme="9"/>
      </font>
    </dxf>
    <dxf>
      <font>
        <color rgb="FFFF0000"/>
      </font>
      <fill>
        <patternFill patternType="none">
          <bgColor auto="1"/>
        </patternFill>
      </fill>
    </dxf>
    <dxf>
      <font>
        <color theme="5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BD152D"/>
      <color rgb="FFB35E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800" b="1" i="0" baseline="0">
                <a:effectLst/>
              </a:rPr>
              <a:t>Moyenne de l'élève et moyenne de classe en fonction des compétences au premier semestre </a:t>
            </a:r>
            <a:endParaRPr lang="fr-F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9684117316741765"/>
          <c:y val="0.21862484054997167"/>
          <c:w val="0.43262718791542215"/>
          <c:h val="0.72104528640828269"/>
        </c:manualLayout>
      </c:layout>
      <c:radarChart>
        <c:radarStyle val="marker"/>
        <c:varyColors val="0"/>
        <c:ser>
          <c:idx val="0"/>
          <c:order val="0"/>
          <c:tx>
            <c:strRef>
              <c:f>Annexe!$B$24</c:f>
              <c:strCache>
                <c:ptCount val="1"/>
                <c:pt idx="0">
                  <c:v>moyenne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Annexe!$A$25:$A$27</c:f>
              <c:strCache>
                <c:ptCount val="3"/>
                <c:pt idx="0">
                  <c:v>Traiter des données à des fins décisionnelles</c:v>
                </c:pt>
                <c:pt idx="1">
                  <c:v>Analyser statistiquement les données</c:v>
                </c:pt>
                <c:pt idx="2">
                  <c:v>Valoriser une production dans un contexte professionnel</c:v>
                </c:pt>
              </c:strCache>
            </c:strRef>
          </c:cat>
          <c:val>
            <c:numRef>
              <c:f>Annexe!$B$25:$B$27</c:f>
              <c:numCache>
                <c:formatCode>0.00</c:formatCode>
                <c:ptCount val="3"/>
                <c:pt idx="0">
                  <c:v>17.57</c:v>
                </c:pt>
                <c:pt idx="1">
                  <c:v>7.84</c:v>
                </c:pt>
                <c:pt idx="2">
                  <c:v>9.31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70-4F04-9D94-340D55B24FB2}"/>
            </c:ext>
          </c:extLst>
        </c:ser>
        <c:ser>
          <c:idx val="1"/>
          <c:order val="1"/>
          <c:tx>
            <c:strRef>
              <c:f>Annexe!$C$24</c:f>
              <c:strCache>
                <c:ptCount val="1"/>
                <c:pt idx="0">
                  <c:v>moyenne de classe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Annexe!$A$25:$A$27</c:f>
              <c:strCache>
                <c:ptCount val="3"/>
                <c:pt idx="0">
                  <c:v>Traiter des données à des fins décisionnelles</c:v>
                </c:pt>
                <c:pt idx="1">
                  <c:v>Analyser statistiquement les données</c:v>
                </c:pt>
                <c:pt idx="2">
                  <c:v>Valoriser une production dans un contexte professionnel</c:v>
                </c:pt>
              </c:strCache>
            </c:strRef>
          </c:cat>
          <c:val>
            <c:numRef>
              <c:f>Annexe!$C$25:$C$27</c:f>
              <c:numCache>
                <c:formatCode>General</c:formatCode>
                <c:ptCount val="3"/>
                <c:pt idx="0">
                  <c:v>14.2</c:v>
                </c:pt>
                <c:pt idx="1">
                  <c:v>14.37</c:v>
                </c:pt>
                <c:pt idx="2" formatCode="0.00">
                  <c:v>14.38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70-4F04-9D94-340D55B24F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9318831"/>
        <c:axId val="1573724927"/>
      </c:radarChart>
      <c:catAx>
        <c:axId val="1929318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accent4">
              <a:lumMod val="20000"/>
              <a:lumOff val="80000"/>
            </a:schemeClr>
          </a:solidFill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3724927"/>
        <c:crosses val="autoZero"/>
        <c:auto val="1"/>
        <c:lblAlgn val="ctr"/>
        <c:lblOffset val="100"/>
        <c:noMultiLvlLbl val="0"/>
      </c:catAx>
      <c:valAx>
        <c:axId val="1573724927"/>
        <c:scaling>
          <c:orientation val="minMax"/>
          <c:max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29318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109538997540887"/>
          <c:y val="0.38819330581048167"/>
          <c:w val="0.14069232109065383"/>
          <c:h val="7.96094895147444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2000" b="1"/>
              <a:t>Moyenne</a:t>
            </a:r>
            <a:r>
              <a:rPr lang="fr-FR" sz="2000" b="1" baseline="0"/>
              <a:t> de l'élève et moyenne de classe en fonction des compétences au deuxième semestre</a:t>
            </a:r>
            <a:r>
              <a:rPr lang="fr-FR" sz="2000" b="1"/>
              <a:t> 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83094357923664"/>
          <c:y val="0.16922722445331823"/>
          <c:w val="0.4261645823683804"/>
          <c:h val="0.80684488802314136"/>
        </c:manualLayout>
      </c:layout>
      <c:radarChart>
        <c:radarStyle val="marker"/>
        <c:varyColors val="0"/>
        <c:ser>
          <c:idx val="0"/>
          <c:order val="0"/>
          <c:tx>
            <c:strRef>
              <c:f>Annexe!$B$29</c:f>
              <c:strCache>
                <c:ptCount val="1"/>
                <c:pt idx="0">
                  <c:v>moyenne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Annexe!$A$30:$A$32</c:f>
              <c:strCache>
                <c:ptCount val="3"/>
                <c:pt idx="0">
                  <c:v>Traiter des données à des fins décisionnelles</c:v>
                </c:pt>
                <c:pt idx="1">
                  <c:v>Analyser statistiquement les données</c:v>
                </c:pt>
                <c:pt idx="2">
                  <c:v>Valoriser une production dans un contexte professionnel</c:v>
                </c:pt>
              </c:strCache>
            </c:strRef>
          </c:cat>
          <c:val>
            <c:numRef>
              <c:f>Annexe!$B$30:$B$32</c:f>
              <c:numCache>
                <c:formatCode>0.00</c:formatCode>
                <c:ptCount val="3"/>
                <c:pt idx="0">
                  <c:v>16</c:v>
                </c:pt>
                <c:pt idx="1">
                  <c:v>14.02</c:v>
                </c:pt>
                <c:pt idx="2">
                  <c:v>7.46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A5-4C16-B09E-70F811E16EA7}"/>
            </c:ext>
          </c:extLst>
        </c:ser>
        <c:ser>
          <c:idx val="1"/>
          <c:order val="1"/>
          <c:tx>
            <c:strRef>
              <c:f>Annexe!$C$29</c:f>
              <c:strCache>
                <c:ptCount val="1"/>
                <c:pt idx="0">
                  <c:v>moyenne de classe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Annexe!$A$30:$A$32</c:f>
              <c:strCache>
                <c:ptCount val="3"/>
                <c:pt idx="0">
                  <c:v>Traiter des données à des fins décisionnelles</c:v>
                </c:pt>
                <c:pt idx="1">
                  <c:v>Analyser statistiquement les données</c:v>
                </c:pt>
                <c:pt idx="2">
                  <c:v>Valoriser une production dans un contexte professionnel</c:v>
                </c:pt>
              </c:strCache>
            </c:strRef>
          </c:cat>
          <c:val>
            <c:numRef>
              <c:f>Annexe!$C$30:$C$32</c:f>
              <c:numCache>
                <c:formatCode>0.00</c:formatCode>
                <c:ptCount val="3"/>
                <c:pt idx="0">
                  <c:v>13.09</c:v>
                </c:pt>
                <c:pt idx="1">
                  <c:v>11.41</c:v>
                </c:pt>
                <c:pt idx="2">
                  <c:v>10.029999999999999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A5-4C16-B09E-70F811E16E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0303599"/>
        <c:axId val="1580767423"/>
      </c:radarChart>
      <c:catAx>
        <c:axId val="21003035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accent4">
              <a:lumMod val="20000"/>
              <a:lumOff val="80000"/>
            </a:schemeClr>
          </a:solidFill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0767423"/>
        <c:crosses val="autoZero"/>
        <c:auto val="1"/>
        <c:lblAlgn val="ctr"/>
        <c:lblOffset val="100"/>
        <c:noMultiLvlLbl val="0"/>
      </c:catAx>
      <c:valAx>
        <c:axId val="158076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00303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764151556982372"/>
          <c:y val="0.46942334934824514"/>
          <c:w val="0.11500534076017518"/>
          <c:h val="7.39224599566842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800" b="1" i="0" baseline="0">
                <a:effectLst/>
              </a:rPr>
              <a:t>Moyenne de l'élève et moyenne de classe en fonction des compétences durant l'année</a:t>
            </a:r>
            <a:endParaRPr lang="fr-F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3140218752086088"/>
          <c:y val="0.28023428931875966"/>
          <c:w val="0.39240694961895767"/>
          <c:h val="0.67097701672432808"/>
        </c:manualLayout>
      </c:layout>
      <c:radarChart>
        <c:radarStyle val="marker"/>
        <c:varyColors val="0"/>
        <c:ser>
          <c:idx val="0"/>
          <c:order val="0"/>
          <c:tx>
            <c:strRef>
              <c:f>Annexe!$B$34</c:f>
              <c:strCache>
                <c:ptCount val="1"/>
                <c:pt idx="0">
                  <c:v>moyenne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Annexe!$A$35:$A$37</c:f>
              <c:strCache>
                <c:ptCount val="3"/>
                <c:pt idx="0">
                  <c:v>Traiter des données à des fins décisionnelles</c:v>
                </c:pt>
                <c:pt idx="1">
                  <c:v>Analyser statistiquement les données</c:v>
                </c:pt>
                <c:pt idx="2">
                  <c:v>Valoriser une production dans un contexte professionnel</c:v>
                </c:pt>
              </c:strCache>
            </c:strRef>
          </c:cat>
          <c:val>
            <c:numRef>
              <c:f>Annexe!$B$35:$B$37</c:f>
              <c:numCache>
                <c:formatCode>0.00</c:formatCode>
                <c:ptCount val="3"/>
                <c:pt idx="0">
                  <c:v>16.785</c:v>
                </c:pt>
                <c:pt idx="1">
                  <c:v>10.93</c:v>
                </c:pt>
                <c:pt idx="2">
                  <c:v>8.3849999999999998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B6-4A80-9E41-AC994346C27C}"/>
            </c:ext>
          </c:extLst>
        </c:ser>
        <c:ser>
          <c:idx val="1"/>
          <c:order val="1"/>
          <c:tx>
            <c:strRef>
              <c:f>Annexe!$C$34</c:f>
              <c:strCache>
                <c:ptCount val="1"/>
                <c:pt idx="0">
                  <c:v>moyenne de classe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Annexe!$A$35:$A$37</c:f>
              <c:strCache>
                <c:ptCount val="3"/>
                <c:pt idx="0">
                  <c:v>Traiter des données à des fins décisionnelles</c:v>
                </c:pt>
                <c:pt idx="1">
                  <c:v>Analyser statistiquement les données</c:v>
                </c:pt>
                <c:pt idx="2">
                  <c:v>Valoriser une production dans un contexte professionnel</c:v>
                </c:pt>
              </c:strCache>
            </c:strRef>
          </c:cat>
          <c:val>
            <c:numRef>
              <c:f>Annexe!$C$35:$C$37</c:f>
              <c:numCache>
                <c:formatCode>0.00</c:formatCode>
                <c:ptCount val="3"/>
                <c:pt idx="0">
                  <c:v>13.645</c:v>
                </c:pt>
                <c:pt idx="1">
                  <c:v>12.89</c:v>
                </c:pt>
                <c:pt idx="2">
                  <c:v>12.205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B6-4A80-9E41-AC994346C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6176191"/>
        <c:axId val="1722613647"/>
      </c:radarChart>
      <c:catAx>
        <c:axId val="2106176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accent4">
              <a:lumMod val="20000"/>
              <a:lumOff val="80000"/>
            </a:schemeClr>
          </a:solidFill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613647"/>
        <c:crosses val="autoZero"/>
        <c:auto val="1"/>
        <c:lblAlgn val="ctr"/>
        <c:lblOffset val="100"/>
        <c:noMultiLvlLbl val="0"/>
      </c:catAx>
      <c:valAx>
        <c:axId val="1722613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061761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Annexe!$B$24</c:f>
              <c:strCache>
                <c:ptCount val="1"/>
                <c:pt idx="0">
                  <c:v>moyenne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Annexe!$A$25:$A$27</c:f>
              <c:strCache>
                <c:ptCount val="3"/>
                <c:pt idx="0">
                  <c:v>Traiter des données à des fins décisionnelles</c:v>
                </c:pt>
                <c:pt idx="1">
                  <c:v>Analyser statistiquement les données</c:v>
                </c:pt>
                <c:pt idx="2">
                  <c:v>Valoriser une production dans un contexte professionnel</c:v>
                </c:pt>
              </c:strCache>
            </c:strRef>
          </c:cat>
          <c:val>
            <c:numRef>
              <c:f>Annexe!$B$25:$B$27</c:f>
              <c:numCache>
                <c:formatCode>0.00</c:formatCode>
                <c:ptCount val="3"/>
                <c:pt idx="0">
                  <c:v>17.57</c:v>
                </c:pt>
                <c:pt idx="1">
                  <c:v>7.84</c:v>
                </c:pt>
                <c:pt idx="2">
                  <c:v>9.31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DB-4E19-9F14-35D9DBA034C5}"/>
            </c:ext>
          </c:extLst>
        </c:ser>
        <c:ser>
          <c:idx val="1"/>
          <c:order val="1"/>
          <c:tx>
            <c:strRef>
              <c:f>Annexe!$C$24</c:f>
              <c:strCache>
                <c:ptCount val="1"/>
                <c:pt idx="0">
                  <c:v>moyenne de classe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Annexe!$A$25:$A$27</c:f>
              <c:strCache>
                <c:ptCount val="3"/>
                <c:pt idx="0">
                  <c:v>Traiter des données à des fins décisionnelles</c:v>
                </c:pt>
                <c:pt idx="1">
                  <c:v>Analyser statistiquement les données</c:v>
                </c:pt>
                <c:pt idx="2">
                  <c:v>Valoriser une production dans un contexte professionnel</c:v>
                </c:pt>
              </c:strCache>
            </c:strRef>
          </c:cat>
          <c:val>
            <c:numRef>
              <c:f>Annexe!$C$25:$C$27</c:f>
              <c:numCache>
                <c:formatCode>General</c:formatCode>
                <c:ptCount val="3"/>
                <c:pt idx="0">
                  <c:v>14.2</c:v>
                </c:pt>
                <c:pt idx="1">
                  <c:v>14.37</c:v>
                </c:pt>
                <c:pt idx="2" formatCode="0.00">
                  <c:v>14.38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DB-4E19-9F14-35D9DBA03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9318831"/>
        <c:axId val="1573724927"/>
      </c:radarChart>
      <c:catAx>
        <c:axId val="1929318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3724927"/>
        <c:crosses val="autoZero"/>
        <c:auto val="1"/>
        <c:lblAlgn val="ctr"/>
        <c:lblOffset val="100"/>
        <c:noMultiLvlLbl val="0"/>
      </c:catAx>
      <c:valAx>
        <c:axId val="1573724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29318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Annexe!$B$29</c:f>
              <c:strCache>
                <c:ptCount val="1"/>
                <c:pt idx="0">
                  <c:v>moyenne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Annexe!$A$30:$A$32</c:f>
              <c:strCache>
                <c:ptCount val="3"/>
                <c:pt idx="0">
                  <c:v>Traiter des données à des fins décisionnelles</c:v>
                </c:pt>
                <c:pt idx="1">
                  <c:v>Analyser statistiquement les données</c:v>
                </c:pt>
                <c:pt idx="2">
                  <c:v>Valoriser une production dans un contexte professionnel</c:v>
                </c:pt>
              </c:strCache>
            </c:strRef>
          </c:cat>
          <c:val>
            <c:numRef>
              <c:f>Annexe!$B$30:$B$32</c:f>
              <c:numCache>
                <c:formatCode>0.00</c:formatCode>
                <c:ptCount val="3"/>
                <c:pt idx="0">
                  <c:v>16</c:v>
                </c:pt>
                <c:pt idx="1">
                  <c:v>14.02</c:v>
                </c:pt>
                <c:pt idx="2">
                  <c:v>7.46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A1-4B27-9EC5-03774FA4CCF4}"/>
            </c:ext>
          </c:extLst>
        </c:ser>
        <c:ser>
          <c:idx val="1"/>
          <c:order val="1"/>
          <c:tx>
            <c:strRef>
              <c:f>Annexe!$C$29</c:f>
              <c:strCache>
                <c:ptCount val="1"/>
                <c:pt idx="0">
                  <c:v>moyenne de classe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Annexe!$A$30:$A$32</c:f>
              <c:strCache>
                <c:ptCount val="3"/>
                <c:pt idx="0">
                  <c:v>Traiter des données à des fins décisionnelles</c:v>
                </c:pt>
                <c:pt idx="1">
                  <c:v>Analyser statistiquement les données</c:v>
                </c:pt>
                <c:pt idx="2">
                  <c:v>Valoriser une production dans un contexte professionnel</c:v>
                </c:pt>
              </c:strCache>
            </c:strRef>
          </c:cat>
          <c:val>
            <c:numRef>
              <c:f>Annexe!$C$30:$C$32</c:f>
              <c:numCache>
                <c:formatCode>0.00</c:formatCode>
                <c:ptCount val="3"/>
                <c:pt idx="0">
                  <c:v>13.09</c:v>
                </c:pt>
                <c:pt idx="1">
                  <c:v>11.41</c:v>
                </c:pt>
                <c:pt idx="2">
                  <c:v>10.029999999999999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A1-4B27-9EC5-03774FA4C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0303599"/>
        <c:axId val="1580767423"/>
      </c:radarChart>
      <c:catAx>
        <c:axId val="21003035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0767423"/>
        <c:crosses val="autoZero"/>
        <c:auto val="1"/>
        <c:lblAlgn val="ctr"/>
        <c:lblOffset val="100"/>
        <c:noMultiLvlLbl val="0"/>
      </c:catAx>
      <c:valAx>
        <c:axId val="158076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00303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Annexe!$B$34</c:f>
              <c:strCache>
                <c:ptCount val="1"/>
                <c:pt idx="0">
                  <c:v>moyenne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Annexe!$A$35:$A$37</c:f>
              <c:strCache>
                <c:ptCount val="3"/>
                <c:pt idx="0">
                  <c:v>Traiter des données à des fins décisionnelles</c:v>
                </c:pt>
                <c:pt idx="1">
                  <c:v>Analyser statistiquement les données</c:v>
                </c:pt>
                <c:pt idx="2">
                  <c:v>Valoriser une production dans un contexte professionnel</c:v>
                </c:pt>
              </c:strCache>
            </c:strRef>
          </c:cat>
          <c:val>
            <c:numRef>
              <c:f>Annexe!$B$35:$B$37</c:f>
              <c:numCache>
                <c:formatCode>0.00</c:formatCode>
                <c:ptCount val="3"/>
                <c:pt idx="0">
                  <c:v>16.785</c:v>
                </c:pt>
                <c:pt idx="1">
                  <c:v>10.93</c:v>
                </c:pt>
                <c:pt idx="2">
                  <c:v>8.3849999999999998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AF-44CB-BCB2-EC3232A2086A}"/>
            </c:ext>
          </c:extLst>
        </c:ser>
        <c:ser>
          <c:idx val="1"/>
          <c:order val="1"/>
          <c:tx>
            <c:strRef>
              <c:f>Annexe!$C$34</c:f>
              <c:strCache>
                <c:ptCount val="1"/>
                <c:pt idx="0">
                  <c:v>moyenne de classe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Annexe!$A$35:$A$37</c:f>
              <c:strCache>
                <c:ptCount val="3"/>
                <c:pt idx="0">
                  <c:v>Traiter des données à des fins décisionnelles</c:v>
                </c:pt>
                <c:pt idx="1">
                  <c:v>Analyser statistiquement les données</c:v>
                </c:pt>
                <c:pt idx="2">
                  <c:v>Valoriser une production dans un contexte professionnel</c:v>
                </c:pt>
              </c:strCache>
            </c:strRef>
          </c:cat>
          <c:val>
            <c:numRef>
              <c:f>Annexe!$C$35:$C$37</c:f>
              <c:numCache>
                <c:formatCode>0.00</c:formatCode>
                <c:ptCount val="3"/>
                <c:pt idx="0">
                  <c:v>13.645</c:v>
                </c:pt>
                <c:pt idx="1">
                  <c:v>12.89</c:v>
                </c:pt>
                <c:pt idx="2">
                  <c:v>12.205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AF-44CB-BCB2-EC3232A208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6176191"/>
        <c:axId val="1722613647"/>
      </c:radarChart>
      <c:catAx>
        <c:axId val="2106176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613647"/>
        <c:crosses val="autoZero"/>
        <c:auto val="1"/>
        <c:lblAlgn val="ctr"/>
        <c:lblOffset val="100"/>
        <c:noMultiLvlLbl val="0"/>
      </c:catAx>
      <c:valAx>
        <c:axId val="1722613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061761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534458</xdr:colOff>
      <xdr:row>2</xdr:row>
      <xdr:rowOff>161395</xdr:rowOff>
    </xdr:from>
    <xdr:to>
      <xdr:col>5</xdr:col>
      <xdr:colOff>1079500</xdr:colOff>
      <xdr:row>10</xdr:row>
      <xdr:rowOff>149490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462058" y="936095"/>
          <a:ext cx="7936442" cy="151209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 b="1" u="sng">
              <a:solidFill>
                <a:schemeClr val="dk1"/>
              </a:solidFill>
              <a:latin typeface="+mn-lt"/>
              <a:ea typeface="+mn-ea"/>
              <a:cs typeface="+mn-cs"/>
            </a:rPr>
            <a:t>Pour</a:t>
          </a:r>
          <a:r>
            <a:rPr lang="fr-FR" sz="1600" b="1" u="sng" baseline="0">
              <a:solidFill>
                <a:schemeClr val="dk1"/>
              </a:solidFill>
              <a:latin typeface="+mn-lt"/>
              <a:ea typeface="+mn-ea"/>
              <a:cs typeface="+mn-cs"/>
            </a:rPr>
            <a:t> ajouter une note:</a:t>
          </a:r>
        </a:p>
        <a:p>
          <a:endParaRPr lang="fr-FR" sz="14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fr-FR" sz="1400" baseline="0">
              <a:solidFill>
                <a:schemeClr val="dk1"/>
              </a:solidFill>
              <a:latin typeface="+mn-lt"/>
              <a:ea typeface="+mn-ea"/>
              <a:cs typeface="+mn-cs"/>
            </a:rPr>
            <a:t>        ● Allez sur la page "Relevé de note"  du semestre souhaité </a:t>
          </a:r>
        </a:p>
        <a:p>
          <a:r>
            <a:rPr lang="fr-FR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● Choisissez la ressource et la compétence de la note à rentrer </a:t>
          </a:r>
        </a:p>
        <a:p>
          <a:r>
            <a:rPr lang="fr-FR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● Cliquez sur le bouton "Ajouter une note" et suivre les indications</a:t>
          </a:r>
          <a:endParaRPr lang="fr-FR" sz="14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fr-FR" sz="1400">
              <a:solidFill>
                <a:schemeClr val="dk1"/>
              </a:solidFill>
              <a:latin typeface="+mn-lt"/>
              <a:ea typeface="+mn-ea"/>
              <a:cs typeface="+mn-cs"/>
            </a:rPr>
            <a:t>       </a:t>
          </a:r>
          <a:r>
            <a:rPr lang="fr-FR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● Affichage de la note sur 20 et du coefficient qui convient à la fin du relevé</a:t>
          </a:r>
          <a:endParaRPr lang="fr-FR" sz="14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523875</xdr:colOff>
      <xdr:row>11</xdr:row>
      <xdr:rowOff>146845</xdr:rowOff>
    </xdr:from>
    <xdr:to>
      <xdr:col>5</xdr:col>
      <xdr:colOff>1092200</xdr:colOff>
      <xdr:row>18</xdr:row>
      <xdr:rowOff>146843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451475" y="2636045"/>
          <a:ext cx="7959725" cy="1333498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 b="1" u="sng"/>
            <a:t>Pour modifier la note / la moyenne de classe / le coefficient:</a:t>
          </a:r>
        </a:p>
        <a:p>
          <a:endParaRPr lang="fr-FR" sz="1100"/>
        </a:p>
        <a:p>
          <a:r>
            <a:rPr lang="fr-FR" sz="1400"/>
            <a:t>        </a:t>
          </a:r>
          <a:r>
            <a:rPr lang="fr-FR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● Allez sur la page "Relevé de note" du semestre souhaité</a:t>
          </a:r>
        </a:p>
        <a:p>
          <a:r>
            <a:rPr lang="fr-FR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● Cliquez sur le bouton " Modifier une note" et suivre les indications </a:t>
          </a:r>
        </a:p>
        <a:p>
          <a:r>
            <a:rPr lang="fr-FR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● Modification de la nouvelle note</a:t>
          </a:r>
          <a:endParaRPr lang="fr-FR" sz="1400"/>
        </a:p>
      </xdr:txBody>
    </xdr:sp>
    <xdr:clientData/>
  </xdr:twoCellAnchor>
  <xdr:twoCellAnchor>
    <xdr:from>
      <xdr:col>2</xdr:col>
      <xdr:colOff>541074</xdr:colOff>
      <xdr:row>19</xdr:row>
      <xdr:rowOff>157427</xdr:rowOff>
    </xdr:from>
    <xdr:to>
      <xdr:col>5</xdr:col>
      <xdr:colOff>1111250</xdr:colOff>
      <xdr:row>29</xdr:row>
      <xdr:rowOff>14553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5462324" y="4173802"/>
          <a:ext cx="7952051" cy="1762126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 b="1" u="sng"/>
            <a:t>Utilisation</a:t>
          </a:r>
          <a:r>
            <a:rPr lang="fr-FR" sz="1600" b="1" u="sng" baseline="0"/>
            <a:t> des feuilles "Semestre 1" , "Semestre 2" </a:t>
          </a:r>
          <a:r>
            <a:rPr lang="fr-FR" sz="1600" b="1" u="sng"/>
            <a:t> :</a:t>
          </a:r>
        </a:p>
        <a:p>
          <a:endParaRPr lang="fr-FR" sz="1100"/>
        </a:p>
        <a:p>
          <a:r>
            <a:rPr lang="fr-FR" sz="1400"/>
            <a:t> </a:t>
          </a:r>
          <a:r>
            <a:rPr lang="fr-FR" sz="1400" baseline="0"/>
            <a:t> </a:t>
          </a:r>
          <a:r>
            <a:rPr lang="fr-FR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● Affichage des moyennes personnelles et de classe par ressources et par compétences </a:t>
          </a:r>
        </a:p>
        <a:p>
          <a:r>
            <a:rPr lang="fr-FR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● Lecture de l'appréciation du semestre </a:t>
          </a:r>
        </a:p>
        <a:p>
          <a:r>
            <a:rPr lang="fr-FR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● Observation de votre niveau en fonction de celui de la classe grâce au graphique radar</a:t>
          </a:r>
        </a:p>
        <a:p>
          <a:r>
            <a:rPr lang="fr-FR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● Pour feuille "Semestre 2" , affichage de votre évolution par rapport au semestre 1</a:t>
          </a:r>
        </a:p>
        <a:p>
          <a:r>
            <a:rPr lang="fr-FR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● Calcul de la moyenne générale personnelle et de la classe </a:t>
          </a:r>
        </a:p>
      </xdr:txBody>
    </xdr:sp>
    <xdr:clientData/>
  </xdr:twoCellAnchor>
  <xdr:twoCellAnchor>
    <xdr:from>
      <xdr:col>2</xdr:col>
      <xdr:colOff>539750</xdr:colOff>
      <xdr:row>30</xdr:row>
      <xdr:rowOff>1322</xdr:rowOff>
    </xdr:from>
    <xdr:to>
      <xdr:col>5</xdr:col>
      <xdr:colOff>1127125</xdr:colOff>
      <xdr:row>37</xdr:row>
      <xdr:rowOff>179917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5461000" y="6113197"/>
          <a:ext cx="7969250" cy="151209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 b="1" u="sng"/>
            <a:t>Utilisation de la feuille "Passage 2ème année"</a:t>
          </a:r>
          <a:r>
            <a:rPr lang="fr-FR" sz="1600" b="1" u="sng" baseline="0"/>
            <a:t> :</a:t>
          </a:r>
        </a:p>
        <a:p>
          <a:endParaRPr lang="fr-FR" sz="1100" baseline="0"/>
        </a:p>
        <a:p>
          <a:r>
            <a:rPr lang="fr-FR" sz="1400" baseline="0"/>
            <a:t>        </a:t>
          </a:r>
          <a:r>
            <a:rPr lang="fr-FR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● Examen des niveaux 1 atteints </a:t>
          </a:r>
        </a:p>
        <a:p>
          <a:r>
            <a:rPr lang="fr-FR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● Décision du jury pour un passage en deuxième année </a:t>
          </a:r>
        </a:p>
        <a:p>
          <a:r>
            <a:rPr lang="fr-FR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● Observation de votre niveau de l'année grâce au graphique radar</a:t>
          </a:r>
        </a:p>
        <a:p>
          <a:r>
            <a:rPr lang="fr-FR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● Affichage des moyennes personnelles et de classe par ressources et par compétences de l'année</a:t>
          </a:r>
        </a:p>
        <a:p>
          <a:endParaRPr lang="fr-FR" sz="1100"/>
        </a:p>
      </xdr:txBody>
    </xdr:sp>
    <xdr:clientData/>
  </xdr:twoCellAnchor>
  <xdr:twoCellAnchor editAs="oneCell">
    <xdr:from>
      <xdr:col>0</xdr:col>
      <xdr:colOff>1555751</xdr:colOff>
      <xdr:row>25</xdr:row>
      <xdr:rowOff>11907</xdr:rowOff>
    </xdr:from>
    <xdr:to>
      <xdr:col>1</xdr:col>
      <xdr:colOff>636280</xdr:colOff>
      <xdr:row>29</xdr:row>
      <xdr:rowOff>158750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5751" y="5171282"/>
          <a:ext cx="1541154" cy="908843"/>
        </a:xfrm>
        <a:prstGeom prst="rect">
          <a:avLst/>
        </a:prstGeom>
      </xdr:spPr>
    </xdr:pic>
    <xdr:clientData/>
  </xdr:twoCellAnchor>
  <xdr:twoCellAnchor editAs="oneCell">
    <xdr:from>
      <xdr:col>0</xdr:col>
      <xdr:colOff>1016000</xdr:colOff>
      <xdr:row>35</xdr:row>
      <xdr:rowOff>67469</xdr:rowOff>
    </xdr:from>
    <xdr:to>
      <xdr:col>1</xdr:col>
      <xdr:colOff>1301750</xdr:colOff>
      <xdr:row>38</xdr:row>
      <xdr:rowOff>123410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" y="7131844"/>
          <a:ext cx="2746375" cy="627441"/>
        </a:xfrm>
        <a:prstGeom prst="rect">
          <a:avLst/>
        </a:prstGeom>
      </xdr:spPr>
    </xdr:pic>
    <xdr:clientData/>
  </xdr:twoCellAnchor>
  <xdr:twoCellAnchor editAs="oneCell">
    <xdr:from>
      <xdr:col>0</xdr:col>
      <xdr:colOff>1366574</xdr:colOff>
      <xdr:row>30</xdr:row>
      <xdr:rowOff>31751</xdr:rowOff>
    </xdr:from>
    <xdr:to>
      <xdr:col>1</xdr:col>
      <xdr:colOff>762001</xdr:colOff>
      <xdr:row>34</xdr:row>
      <xdr:rowOff>138749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6574" y="6143626"/>
          <a:ext cx="1856052" cy="868998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209550</xdr:rowOff>
    </xdr:from>
    <xdr:to>
      <xdr:col>1</xdr:col>
      <xdr:colOff>2149476</xdr:colOff>
      <xdr:row>23</xdr:row>
      <xdr:rowOff>3175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8600" y="209550"/>
          <a:ext cx="4384676" cy="4568825"/>
        </a:xfrm>
        <a:prstGeom prst="rect">
          <a:avLst/>
        </a:prstGeom>
        <a:ln w="76200">
          <a:solidFill>
            <a:srgbClr val="C00000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2455969</xdr:colOff>
      <xdr:row>49</xdr:row>
      <xdr:rowOff>103127</xdr:rowOff>
    </xdr:from>
    <xdr:to>
      <xdr:col>4</xdr:col>
      <xdr:colOff>1222733</xdr:colOff>
      <xdr:row>77</xdr:row>
      <xdr:rowOff>153259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1136650</xdr:colOff>
      <xdr:row>0</xdr:row>
      <xdr:rowOff>185966</xdr:rowOff>
    </xdr:from>
    <xdr:to>
      <xdr:col>12</xdr:col>
      <xdr:colOff>2501967</xdr:colOff>
      <xdr:row>7</xdr:row>
      <xdr:rowOff>29765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38650" y="185966"/>
          <a:ext cx="1365317" cy="1478924"/>
        </a:xfrm>
        <a:prstGeom prst="rect">
          <a:avLst/>
        </a:prstGeom>
        <a:ln w="57150">
          <a:solidFill>
            <a:srgbClr val="C00000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670560</xdr:colOff>
          <xdr:row>5</xdr:row>
          <xdr:rowOff>175260</xdr:rowOff>
        </xdr:from>
        <xdr:to>
          <xdr:col>2</xdr:col>
          <xdr:colOff>3276600</xdr:colOff>
          <xdr:row>8</xdr:row>
          <xdr:rowOff>22860</xdr:rowOff>
        </xdr:to>
        <xdr:sp macro="" textlink="">
          <xdr:nvSpPr>
            <xdr:cNvPr id="4119" name="S1AjouterNote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2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624840</xdr:colOff>
          <xdr:row>6</xdr:row>
          <xdr:rowOff>7620</xdr:rowOff>
        </xdr:from>
        <xdr:to>
          <xdr:col>6</xdr:col>
          <xdr:colOff>754380</xdr:colOff>
          <xdr:row>8</xdr:row>
          <xdr:rowOff>53340</xdr:rowOff>
        </xdr:to>
        <xdr:sp macro="" textlink="">
          <xdr:nvSpPr>
            <xdr:cNvPr id="4125" name="S1ModifierNote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2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849312</xdr:colOff>
      <xdr:row>0</xdr:row>
      <xdr:rowOff>143757</xdr:rowOff>
    </xdr:from>
    <xdr:to>
      <xdr:col>6</xdr:col>
      <xdr:colOff>1791229</xdr:colOff>
      <xdr:row>5</xdr:row>
      <xdr:rowOff>32103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92112" y="143757"/>
          <a:ext cx="941917" cy="1056746"/>
        </a:xfrm>
        <a:prstGeom prst="rect">
          <a:avLst/>
        </a:prstGeom>
        <a:ln w="57150">
          <a:solidFill>
            <a:srgbClr val="C00000"/>
          </a:solidFill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1404938</xdr:colOff>
      <xdr:row>58</xdr:row>
      <xdr:rowOff>35716</xdr:rowOff>
    </xdr:from>
    <xdr:to>
      <xdr:col>3</xdr:col>
      <xdr:colOff>3262588</xdr:colOff>
      <xdr:row>88</xdr:row>
      <xdr:rowOff>119062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698500</xdr:colOff>
      <xdr:row>0</xdr:row>
      <xdr:rowOff>228600</xdr:rowOff>
    </xdr:from>
    <xdr:to>
      <xdr:col>10</xdr:col>
      <xdr:colOff>1301817</xdr:colOff>
      <xdr:row>6</xdr:row>
      <xdr:rowOff>97799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678400" y="228600"/>
          <a:ext cx="1365317" cy="1482099"/>
        </a:xfrm>
        <a:prstGeom prst="rect">
          <a:avLst/>
        </a:prstGeom>
        <a:ln w="57150">
          <a:solidFill>
            <a:srgbClr val="C00000"/>
          </a:solidFill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205740</xdr:colOff>
          <xdr:row>6</xdr:row>
          <xdr:rowOff>60960</xdr:rowOff>
        </xdr:from>
        <xdr:to>
          <xdr:col>2</xdr:col>
          <xdr:colOff>3497580</xdr:colOff>
          <xdr:row>8</xdr:row>
          <xdr:rowOff>45720</xdr:rowOff>
        </xdr:to>
        <xdr:sp macro="" textlink="">
          <xdr:nvSpPr>
            <xdr:cNvPr id="6152" name="S2Ajouternote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4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632460</xdr:colOff>
          <xdr:row>6</xdr:row>
          <xdr:rowOff>99060</xdr:rowOff>
        </xdr:from>
        <xdr:to>
          <xdr:col>6</xdr:col>
          <xdr:colOff>1318260</xdr:colOff>
          <xdr:row>8</xdr:row>
          <xdr:rowOff>60960</xdr:rowOff>
        </xdr:to>
        <xdr:sp macro="" textlink="">
          <xdr:nvSpPr>
            <xdr:cNvPr id="6153" name="S2modifierNote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4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254000</xdr:colOff>
      <xdr:row>0</xdr:row>
      <xdr:rowOff>155222</xdr:rowOff>
    </xdr:from>
    <xdr:to>
      <xdr:col>6</xdr:col>
      <xdr:colOff>1195917</xdr:colOff>
      <xdr:row>4</xdr:row>
      <xdr:rowOff>197026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17667" y="155222"/>
          <a:ext cx="941917" cy="1015471"/>
        </a:xfrm>
        <a:prstGeom prst="rect">
          <a:avLst/>
        </a:prstGeom>
        <a:ln w="57150">
          <a:solidFill>
            <a:srgbClr val="C00000"/>
          </a:solidFill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136456</xdr:colOff>
      <xdr:row>13</xdr:row>
      <xdr:rowOff>27426</xdr:rowOff>
    </xdr:from>
    <xdr:to>
      <xdr:col>15</xdr:col>
      <xdr:colOff>546099</xdr:colOff>
      <xdr:row>25</xdr:row>
      <xdr:rowOff>152400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165776</xdr:colOff>
      <xdr:row>6</xdr:row>
      <xdr:rowOff>8196</xdr:rowOff>
    </xdr:from>
    <xdr:to>
      <xdr:col>15</xdr:col>
      <xdr:colOff>584200</xdr:colOff>
      <xdr:row>12</xdr:row>
      <xdr:rowOff>237068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10389276" y="1862396"/>
          <a:ext cx="7352624" cy="2070372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 b="1" u="sng"/>
            <a:t>Conditions de passage en deuxième</a:t>
          </a:r>
          <a:r>
            <a:rPr lang="fr-FR" sz="1600" b="1" u="sng" baseline="0"/>
            <a:t> année :</a:t>
          </a:r>
        </a:p>
        <a:p>
          <a:endParaRPr lang="fr-FR" sz="1100" baseline="0"/>
        </a:p>
        <a:p>
          <a:r>
            <a:rPr lang="fr-FR" sz="1100" baseline="0"/>
            <a:t>        </a:t>
          </a:r>
          <a: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fr-FR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● Moyenne annuelle strictement inférieure à 8 dans aucune compétence</a:t>
          </a:r>
        </a:p>
        <a:p>
          <a:r>
            <a:rPr lang="fr-FR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● Moyenne annuelle supérieure ou égale à 10 dans au moins 2 compétences</a:t>
          </a:r>
          <a: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</a:t>
          </a:r>
        </a:p>
        <a:p>
          <a:r>
            <a:rPr lang="fr-FR" sz="16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Conditions d'atteinte du niveau 1 :</a:t>
          </a:r>
        </a:p>
        <a:p>
          <a:endParaRPr lang="fr-FR" sz="16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fr-FR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● Moyenne annuellle supérieure ou égale à 10 dans la compétence</a:t>
          </a:r>
          <a:endParaRPr lang="fr-FR" sz="1400"/>
        </a:p>
      </xdr:txBody>
    </xdr:sp>
    <xdr:clientData/>
  </xdr:twoCellAnchor>
  <xdr:twoCellAnchor editAs="oneCell">
    <xdr:from>
      <xdr:col>13</xdr:col>
      <xdr:colOff>685800</xdr:colOff>
      <xdr:row>0</xdr:row>
      <xdr:rowOff>165100</xdr:rowOff>
    </xdr:from>
    <xdr:to>
      <xdr:col>15</xdr:col>
      <xdr:colOff>527117</xdr:colOff>
      <xdr:row>5</xdr:row>
      <xdr:rowOff>123199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319500" y="165100"/>
          <a:ext cx="1365317" cy="1482099"/>
        </a:xfrm>
        <a:prstGeom prst="rect">
          <a:avLst/>
        </a:prstGeom>
        <a:ln w="57150">
          <a:solidFill>
            <a:srgbClr val="C00000"/>
          </a:solidFill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750093</xdr:colOff>
      <xdr:row>3</xdr:row>
      <xdr:rowOff>182165</xdr:rowOff>
    </xdr:from>
    <xdr:to>
      <xdr:col>5</xdr:col>
      <xdr:colOff>583405</xdr:colOff>
      <xdr:row>17</xdr:row>
      <xdr:rowOff>186927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59531</xdr:colOff>
      <xdr:row>18</xdr:row>
      <xdr:rowOff>122634</xdr:rowOff>
    </xdr:from>
    <xdr:to>
      <xdr:col>5</xdr:col>
      <xdr:colOff>654843</xdr:colOff>
      <xdr:row>37</xdr:row>
      <xdr:rowOff>186928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583407</xdr:colOff>
      <xdr:row>39</xdr:row>
      <xdr:rowOff>27383</xdr:rowOff>
    </xdr:from>
    <xdr:to>
      <xdr:col>5</xdr:col>
      <xdr:colOff>1416843</xdr:colOff>
      <xdr:row>56</xdr:row>
      <xdr:rowOff>47624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A49F142-3C5F-4DB9-B64C-A6C7D3B585AA}" name="Tableau3" displayName="Tableau3" ref="A10:H26" totalsRowShown="0" headerRowDxfId="24">
  <autoFilter ref="A10:H26" xr:uid="{8A49F142-3C5F-4DB9-B64C-A6C7D3B585AA}"/>
  <sortState xmlns:xlrd2="http://schemas.microsoft.com/office/spreadsheetml/2017/richdata2" ref="B11:E13">
    <sortCondition ref="B10:B13"/>
  </sortState>
  <tableColumns count="8">
    <tableColumn id="8" xr3:uid="{8BAF2A27-3DC6-4205-9389-B2C0BA1F1614}" name="n°note" dataDxfId="23"/>
    <tableColumn id="1" xr3:uid="{B8B92182-0332-4749-95F2-238B3E3B3C40}" name="Compétence" dataDxfId="22"/>
    <tableColumn id="2" xr3:uid="{8386D519-0EFC-4C92-B25C-FD81213C7872}" name="Ressource"/>
    <tableColumn id="3" xr3:uid="{5EFCE109-BA94-43B7-9401-25C83181159F}" name="note"/>
    <tableColumn id="4" xr3:uid="{8F8C2D67-E857-4928-BDFE-861C3F8BC02D}" name="Coefficient"/>
    <tableColumn id="5" xr3:uid="{68E554D2-2CA0-4E2B-BF70-68D7BD375F67}" name="Colonne1" dataDxfId="21">
      <calculatedColumnFormula>ROUND((Tableau3[[#This Row],[note]]*Tableau3[[#This Row],[Coefficient]]),2)</calculatedColumnFormula>
    </tableColumn>
    <tableColumn id="6" xr3:uid="{0DE60BD2-739B-4552-BC8A-8CE85F7854BE}" name="moyenne de classe"/>
    <tableColumn id="7" xr3:uid="{4E1D19BB-E068-4EF3-93EF-95EBE77B05FA}" name="Colonne2" dataDxfId="20">
      <calculatedColumnFormula>Tableau3[[#This Row],[moyenne de classe]]*Tableau3[[#This Row],[Coefficient]]</calculatedColumnFormula>
    </tableColumn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0639DEA-9F61-4550-A516-9C5818A64715}" name="Tableau4" displayName="Tableau4" ref="A10:H24" totalsRowShown="0" headerRowDxfId="13" headerRowBorderDxfId="12" tableBorderDxfId="11">
  <autoFilter ref="A10:H24" xr:uid="{A0639DEA-9F61-4550-A516-9C5818A64715}"/>
  <tableColumns count="8">
    <tableColumn id="9" xr3:uid="{AD0702DE-698D-4BD2-AA7D-53B3881F8CB6}" name="n° note" dataDxfId="10">
      <calculatedColumnFormula>1+A10</calculatedColumnFormula>
    </tableColumn>
    <tableColumn id="1" xr3:uid="{985C2961-826D-4698-93CB-59484ABE458A}" name="Compétence"/>
    <tableColumn id="2" xr3:uid="{922412F6-31FB-48F2-A2C3-997D6EE62E3C}" name="Ressource"/>
    <tableColumn id="3" xr3:uid="{2AF48756-2AA6-4723-AEE7-83142448B3DA}" name="note"/>
    <tableColumn id="4" xr3:uid="{EB98098C-AEA4-47E4-B202-741325B15240}" name="Coefficient"/>
    <tableColumn id="5" xr3:uid="{49C41607-D6EB-409D-9A95-4F917DB5FE27}" name="Colonne1" dataDxfId="9">
      <calculatedColumnFormula>ROUND((Tableau4[[#This Row],[note]]*Tableau4[[#This Row],[Coefficient]]),2)</calculatedColumnFormula>
    </tableColumn>
    <tableColumn id="6" xr3:uid="{1AD75D2C-F09F-44C2-A48E-B0E7EDA5F241}" name="moyenne de classe"/>
    <tableColumn id="7" xr3:uid="{E64F7135-8E5C-47EF-9CEC-D7706F37A0A7}" name="Colonne2" dataDxfId="8">
      <calculatedColumnFormula>ROUND((Tableau4[[#This Row],[moyenne de classe]]*Tableau4[[#This Row],[Coefficient]]),2)</calculatedColumnFormula>
    </tableColumn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.xml"/><Relationship Id="rId5" Type="http://schemas.openxmlformats.org/officeDocument/2006/relationships/image" Target="../media/image7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66002-55D4-4569-A4DE-84F091C2A654}">
  <sheetPr codeName="Feuil1"/>
  <dimension ref="A1:I8"/>
  <sheetViews>
    <sheetView tabSelected="1" zoomScale="40" zoomScaleNormal="40" workbookViewId="0">
      <selection activeCell="I29" sqref="I29"/>
    </sheetView>
  </sheetViews>
  <sheetFormatPr baseColWidth="10" defaultColWidth="35.21875" defaultRowHeight="14.4" x14ac:dyDescent="0.3"/>
  <cols>
    <col min="6" max="6" width="21.77734375" customWidth="1"/>
  </cols>
  <sheetData>
    <row r="1" spans="1:9" ht="46.2" x14ac:dyDescent="0.85">
      <c r="A1" s="123"/>
      <c r="B1" s="123"/>
      <c r="C1" s="122" t="s">
        <v>81</v>
      </c>
      <c r="D1" s="122"/>
      <c r="E1" s="122"/>
      <c r="F1" s="122"/>
    </row>
    <row r="8" spans="1:9" x14ac:dyDescent="0.3">
      <c r="I8" t="s">
        <v>82</v>
      </c>
    </row>
  </sheetData>
  <sheetProtection sheet="1" objects="1" scenarios="1"/>
  <mergeCells count="2">
    <mergeCell ref="C1:F1"/>
    <mergeCell ref="A1:B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AA1B9-6CA4-4CAD-B3D6-D02CC051D583}">
  <sheetPr codeName="Feuil2"/>
  <dimension ref="A1:P49"/>
  <sheetViews>
    <sheetView zoomScale="40" zoomScaleNormal="40" zoomScaleSheetLayoutView="50" workbookViewId="0">
      <selection activeCell="D12" sqref="D12"/>
    </sheetView>
  </sheetViews>
  <sheetFormatPr baseColWidth="10" defaultRowHeight="14.4" x14ac:dyDescent="0.3"/>
  <cols>
    <col min="1" max="1" width="40" customWidth="1"/>
    <col min="2" max="2" width="44.77734375" customWidth="1"/>
    <col min="3" max="3" width="57" customWidth="1"/>
    <col min="4" max="4" width="14.44140625" bestFit="1" customWidth="1"/>
    <col min="5" max="5" width="29" bestFit="1" customWidth="1"/>
    <col min="8" max="8" width="0" hidden="1" customWidth="1"/>
    <col min="9" max="9" width="14.77734375" hidden="1" customWidth="1"/>
    <col min="10" max="10" width="4.5546875" hidden="1" customWidth="1"/>
    <col min="13" max="13" width="38.88671875" customWidth="1"/>
    <col min="14" max="14" width="11.5546875" hidden="1" customWidth="1"/>
    <col min="15" max="15" width="14.44140625" hidden="1" customWidth="1"/>
    <col min="16" max="16" width="131.6640625" hidden="1" customWidth="1"/>
    <col min="17" max="17" width="10.88671875" customWidth="1"/>
  </cols>
  <sheetData>
    <row r="1" spans="1:16" ht="35.1" customHeight="1" x14ac:dyDescent="0.3">
      <c r="A1" s="148" t="s">
        <v>68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</row>
    <row r="3" spans="1:16" ht="18" x14ac:dyDescent="0.35">
      <c r="A3" s="30" t="s">
        <v>49</v>
      </c>
      <c r="B3" s="30" t="s">
        <v>50</v>
      </c>
      <c r="C3" s="30" t="s">
        <v>52</v>
      </c>
      <c r="D3" s="109" t="s">
        <v>53</v>
      </c>
      <c r="E3" s="108" t="s">
        <v>61</v>
      </c>
    </row>
    <row r="4" spans="1:16" x14ac:dyDescent="0.3">
      <c r="A4" s="2" t="s">
        <v>39</v>
      </c>
      <c r="B4" s="62" t="s">
        <v>1</v>
      </c>
      <c r="C4" s="45">
        <v>0.5</v>
      </c>
      <c r="D4" s="49">
        <f>IFERROR(ROUND(SUMIF(Tableau3[Ressource],'Semestre 1'!B4,Tableau3[Colonne1])/SUMIF(Tableau3[Ressource],'Semestre 1'!B4,Tableau3[Coefficient]),2),"")</f>
        <v>0</v>
      </c>
      <c r="E4" s="74">
        <f>IFERROR(ROUND(SUMIF(Tableau3[Ressource],'Semestre 1'!B4,Tableau3[Colonne2])/SUMIF(Tableau3[Ressource],'Semestre 1'!B4,Tableau3[Coefficient]),2),"")</f>
        <v>13</v>
      </c>
      <c r="H4">
        <f>IFERROR(E4*C4, "0")</f>
        <v>6.5</v>
      </c>
      <c r="I4" s="40">
        <f>ROUND(IFERROR(D4*C4,"0"),2)</f>
        <v>0</v>
      </c>
      <c r="J4" s="40" t="str">
        <f>IF(D4&lt;&gt;0,C4,"0")</f>
        <v>0</v>
      </c>
    </row>
    <row r="5" spans="1:16" x14ac:dyDescent="0.3">
      <c r="A5" s="2" t="s">
        <v>0</v>
      </c>
      <c r="B5" s="64" t="s">
        <v>2</v>
      </c>
      <c r="C5" s="65">
        <v>1.5</v>
      </c>
      <c r="D5" s="50">
        <f>IFERROR(ROUND(SUMIF(Tableau3[Ressource],'Semestre 1'!B5,Tableau3[Colonne1])/SUMIF(Tableau3[Ressource],'Semestre 1'!B5,Tableau3[Coefficient]),2),"")</f>
        <v>16.5</v>
      </c>
      <c r="E5" s="75">
        <f>IFERROR(ROUND(SUMIF(Tableau3[Ressource],'Semestre 1'!B5,Tableau3[Colonne2])/SUMIF(Tableau3[Ressource],'Semestre 1'!B5,Tableau3[Coefficient]),2),"")</f>
        <v>16</v>
      </c>
      <c r="H5">
        <f t="shared" ref="H5:H22" si="0">IFERROR(E5*C5, "0")</f>
        <v>24</v>
      </c>
      <c r="I5" s="40">
        <f t="shared" ref="I5:I22" si="1">ROUND(IFERROR(D5*C5,"0"),2)</f>
        <v>24.75</v>
      </c>
      <c r="J5" s="40">
        <f>IF(D5&lt;&gt;"",C5,"0")</f>
        <v>1.5</v>
      </c>
    </row>
    <row r="6" spans="1:16" x14ac:dyDescent="0.3">
      <c r="A6" s="2"/>
      <c r="B6" s="64" t="s">
        <v>3</v>
      </c>
      <c r="C6" s="65">
        <v>2</v>
      </c>
      <c r="D6" s="50">
        <f>IFERROR(ROUND(SUMIF(Tableau3[Ressource],'Semestre 1'!B6,Tableau3[Colonne1])/SUMIF(Tableau3[Ressource],'Semestre 1'!B6,Tableau3[Coefficient]),2),"")</f>
        <v>18.5</v>
      </c>
      <c r="E6" s="75">
        <f>IFERROR(ROUND(SUMIF(Tableau3[Ressource],'Semestre 1'!B6,Tableau3[Colonne2])/SUMIF(Tableau3[Ressource],'Semestre 1'!B6,Tableau3[Coefficient]),2),"")</f>
        <v>10</v>
      </c>
      <c r="H6">
        <f t="shared" si="0"/>
        <v>20</v>
      </c>
      <c r="I6" s="40">
        <f t="shared" si="1"/>
        <v>37</v>
      </c>
      <c r="J6" s="40">
        <f t="shared" ref="J6:J22" si="2">IF(D6&lt;&gt;"",C6,"0")</f>
        <v>2</v>
      </c>
    </row>
    <row r="7" spans="1:16" x14ac:dyDescent="0.3">
      <c r="A7" s="150"/>
      <c r="B7" s="64" t="s">
        <v>4</v>
      </c>
      <c r="C7" s="65">
        <v>2</v>
      </c>
      <c r="D7" s="50">
        <f>IFERROR(ROUND(SUMIF(Tableau3[Ressource],'Semestre 1'!B7,Tableau3[Colonne1])/SUMIF(Tableau3[Ressource],'Semestre 1'!B7,Tableau3[Coefficient]),2),"")</f>
        <v>20</v>
      </c>
      <c r="E7" s="75">
        <f>IFERROR(ROUND(SUMIF(Tableau3[Ressource],'Semestre 1'!B7,Tableau3[Colonne2])/SUMIF(Tableau3[Ressource],'Semestre 1'!B7,Tableau3[Coefficient]),2),"")</f>
        <v>14</v>
      </c>
      <c r="H7">
        <f t="shared" si="0"/>
        <v>28</v>
      </c>
      <c r="I7" s="40">
        <f t="shared" si="1"/>
        <v>40</v>
      </c>
      <c r="J7" s="40">
        <f t="shared" si="2"/>
        <v>2</v>
      </c>
    </row>
    <row r="8" spans="1:16" x14ac:dyDescent="0.3">
      <c r="A8" s="150"/>
      <c r="B8" s="64" t="s">
        <v>5</v>
      </c>
      <c r="C8" s="65">
        <v>2</v>
      </c>
      <c r="D8" s="50" t="str">
        <f>IFERROR(ROUND(SUMIF(Tableau3[Ressource],'Semestre 1'!B8,Tableau3[Colonne1])/SUMIF(Tableau3[Ressource],'Semestre 1'!B8,Tableau3[Coefficient]),2),"")</f>
        <v/>
      </c>
      <c r="E8" s="75" t="str">
        <f>IFERROR(ROUND(SUMIF(Tableau3[Ressource],'Semestre 1'!B8,Tableau3[Colonne2])/SUMIF(Tableau3[Ressource],'Semestre 1'!B8,Tableau3[Coefficient]),2),"")</f>
        <v/>
      </c>
      <c r="H8" t="str">
        <f t="shared" si="0"/>
        <v>0</v>
      </c>
      <c r="I8" s="40">
        <f t="shared" si="1"/>
        <v>0</v>
      </c>
      <c r="J8" s="40" t="str">
        <f t="shared" si="2"/>
        <v>0</v>
      </c>
    </row>
    <row r="9" spans="1:16" x14ac:dyDescent="0.3">
      <c r="A9" s="151"/>
      <c r="B9" s="66" t="s">
        <v>6</v>
      </c>
      <c r="C9" s="65">
        <v>2</v>
      </c>
      <c r="D9" s="50">
        <f>IFERROR(ROUND(SUMIF(Tableau3[Ressource],'Semestre 1'!B9,Tableau3[Colonne1])/SUMIF(Tableau3[Ressource],'Semestre 1'!B9,Tableau3[Coefficient]),2),"")</f>
        <v>15</v>
      </c>
      <c r="E9" s="75">
        <f>IFERROR(ROUND(SUMIF(Tableau3[Ressource],'Semestre 1'!B9,Tableau3[Colonne2])/SUMIF(Tableau3[Ressource],'Semestre 1'!B9,Tableau3[Coefficient]),2),"")</f>
        <v>14</v>
      </c>
      <c r="H9">
        <f t="shared" si="0"/>
        <v>28</v>
      </c>
      <c r="I9" s="40">
        <f t="shared" si="1"/>
        <v>30</v>
      </c>
      <c r="J9" s="40">
        <f t="shared" si="2"/>
        <v>2</v>
      </c>
    </row>
    <row r="10" spans="1:16" x14ac:dyDescent="0.3">
      <c r="A10" s="35"/>
      <c r="B10" s="32"/>
      <c r="C10" s="6"/>
      <c r="D10" s="98"/>
      <c r="E10" s="94"/>
      <c r="I10" s="40">
        <f t="shared" si="1"/>
        <v>0</v>
      </c>
      <c r="J10" s="40"/>
    </row>
    <row r="11" spans="1:16" x14ac:dyDescent="0.3">
      <c r="A11" s="36" t="s">
        <v>38</v>
      </c>
      <c r="B11" s="63" t="s">
        <v>1</v>
      </c>
      <c r="C11" s="44">
        <v>0.5</v>
      </c>
      <c r="D11" s="92">
        <f>IFERROR(ROUND(SUMIF(Tableau3[Ressource],'Semestre 1'!B11,Tableau3[Colonne1])/SUMIF(Tableau3[Ressource],'Semestre 1'!B11,Tableau3[Coefficient]),2),"")</f>
        <v>0</v>
      </c>
      <c r="E11" s="74">
        <f>IFERROR(ROUND(SUMIF(Tableau3[Ressource],'Semestre 1'!B11,Tableau3[Colonne2])/SUMIF(Tableau3[Ressource],'Semestre 1'!B11,Tableau3[Coefficient]),2),"")</f>
        <v>13</v>
      </c>
      <c r="H11">
        <f t="shared" si="0"/>
        <v>6.5</v>
      </c>
      <c r="I11" s="40">
        <f t="shared" si="1"/>
        <v>0</v>
      </c>
      <c r="J11" s="40">
        <f t="shared" si="2"/>
        <v>0.5</v>
      </c>
    </row>
    <row r="12" spans="1:16" x14ac:dyDescent="0.3">
      <c r="A12" s="37" t="s">
        <v>7</v>
      </c>
      <c r="B12" s="67" t="s">
        <v>8</v>
      </c>
      <c r="C12" s="68">
        <v>2</v>
      </c>
      <c r="D12" s="51">
        <f>IFERROR(ROUND(SUMIF(Tableau3[Ressource],'Semestre 1'!B12,Tableau3[Colonne1])/SUMIF(Tableau3[Ressource],'Semestre 1'!B12,Tableau3[Coefficient]),2),"")</f>
        <v>7.83</v>
      </c>
      <c r="E12" s="76">
        <f>IFERROR(ROUND(SUMIF(Tableau3[Ressource],'Semestre 1'!B12,Tableau3[Colonne2])/SUMIF(Tableau3[Ressource],'Semestre 1'!B12,Tableau3[Coefficient]),2),"")</f>
        <v>13.67</v>
      </c>
      <c r="H12">
        <f t="shared" si="0"/>
        <v>27.34</v>
      </c>
      <c r="I12" s="40">
        <f t="shared" si="1"/>
        <v>15.66</v>
      </c>
      <c r="J12" s="40">
        <f t="shared" si="2"/>
        <v>2</v>
      </c>
    </row>
    <row r="13" spans="1:16" x14ac:dyDescent="0.3">
      <c r="A13" s="152"/>
      <c r="B13" s="67" t="s">
        <v>9</v>
      </c>
      <c r="C13" s="68">
        <v>1.5</v>
      </c>
      <c r="D13" s="51">
        <f>IFERROR(ROUND(SUMIF(Tableau3[Ressource],'Semestre 1'!B13,Tableau3[Colonne1])/SUMIF(Tableau3[Ressource],'Semestre 1'!B13,Tableau3[Coefficient]),2),"")</f>
        <v>9.6</v>
      </c>
      <c r="E13" s="76">
        <f>IFERROR(ROUND(SUMIF(Tableau3[Ressource],'Semestre 1'!B13,Tableau3[Colonne2])/SUMIF(Tableau3[Ressource],'Semestre 1'!B13,Tableau3[Coefficient]),2),"")</f>
        <v>17.600000000000001</v>
      </c>
      <c r="H13">
        <f t="shared" si="0"/>
        <v>26.400000000000002</v>
      </c>
      <c r="I13" s="40">
        <f t="shared" si="1"/>
        <v>14.4</v>
      </c>
      <c r="J13" s="40">
        <f t="shared" si="2"/>
        <v>1.5</v>
      </c>
    </row>
    <row r="14" spans="1:16" x14ac:dyDescent="0.3">
      <c r="A14" s="152"/>
      <c r="B14" s="67" t="s">
        <v>10</v>
      </c>
      <c r="C14" s="68">
        <v>2</v>
      </c>
      <c r="D14" s="51">
        <f>IFERROR(ROUND(SUMIF(Tableau3[Ressource],'Semestre 1'!B14,Tableau3[Colonne1])/SUMIF(Tableau3[Ressource],'Semestre 1'!B14,Tableau3[Coefficient]),2),"")</f>
        <v>8.5</v>
      </c>
      <c r="E14" s="76">
        <f>IFERROR(ROUND(SUMIF(Tableau3[Ressource],'Semestre 1'!B14,Tableau3[Colonne2])/SUMIF(Tableau3[Ressource],'Semestre 1'!B14,Tableau3[Coefficient]),2),"")</f>
        <v>13</v>
      </c>
      <c r="H14">
        <f t="shared" si="0"/>
        <v>26</v>
      </c>
      <c r="I14" s="40">
        <f t="shared" si="1"/>
        <v>17</v>
      </c>
      <c r="J14" s="40">
        <f t="shared" si="2"/>
        <v>2</v>
      </c>
    </row>
    <row r="15" spans="1:16" ht="28.8" x14ac:dyDescent="0.3">
      <c r="A15" s="153"/>
      <c r="B15" s="69" t="s">
        <v>11</v>
      </c>
      <c r="C15" s="68">
        <v>4</v>
      </c>
      <c r="D15" s="51" t="str">
        <f>IFERROR(ROUND(SUMIF(Tableau3[Ressource],'Semestre 1'!B15,Tableau3[Colonne1])/SUMIF(Tableau3[Ressource],'Semestre 1'!B15,Tableau3[Coefficient]),2),"")</f>
        <v/>
      </c>
      <c r="E15" s="95" t="str">
        <f>IFERROR(ROUND(SUMIF(Tableau3[Ressource],'Semestre 1'!B15,Tableau3[Colonne2])/SUMIF(Tableau3[Ressource],'Semestre 1'!B15,Tableau3[Coefficient]),2),"")</f>
        <v/>
      </c>
      <c r="H15" t="str">
        <f t="shared" si="0"/>
        <v>0</v>
      </c>
      <c r="I15" s="40">
        <f t="shared" si="1"/>
        <v>0</v>
      </c>
      <c r="J15" s="40" t="str">
        <f t="shared" si="2"/>
        <v>0</v>
      </c>
      <c r="O15" t="s">
        <v>57</v>
      </c>
      <c r="P15" t="s">
        <v>60</v>
      </c>
    </row>
    <row r="16" spans="1:16" x14ac:dyDescent="0.3">
      <c r="A16" s="35"/>
      <c r="B16" s="33"/>
      <c r="C16" s="6"/>
      <c r="D16" s="97"/>
      <c r="E16" s="96"/>
      <c r="I16" s="40">
        <f t="shared" si="1"/>
        <v>0</v>
      </c>
      <c r="J16" s="40"/>
      <c r="O16" t="s">
        <v>58</v>
      </c>
      <c r="P16" t="e">
        <f>"Encore un petit effort, il faut que tu augmentes ta moyenne de "&amp;N29&amp;" points."</f>
        <v>#VALUE!</v>
      </c>
    </row>
    <row r="17" spans="1:16" x14ac:dyDescent="0.3">
      <c r="A17" s="38" t="s">
        <v>37</v>
      </c>
      <c r="B17" s="34" t="s">
        <v>1</v>
      </c>
      <c r="C17" s="43">
        <v>0.5</v>
      </c>
      <c r="D17" s="49">
        <f>IFERROR(ROUND(SUMIF(Tableau3[Ressource],'Semestre 1'!B17,Tableau3[Colonne1])/SUMIF(Tableau3[Ressource],'Semestre 1'!B17,Tableau3[Coefficient]),2),"")</f>
        <v>0</v>
      </c>
      <c r="E17" s="74">
        <f>IFERROR(ROUND(SUMIF(Tableau3[Ressource],'Semestre 1'!B17,Tableau3[Colonne2])/SUMIF(Tableau3[Ressource],'Semestre 1'!B17,Tableau3[Coefficient]),2),"")</f>
        <v>13</v>
      </c>
      <c r="H17">
        <f t="shared" si="0"/>
        <v>6.5</v>
      </c>
      <c r="I17" s="40">
        <f t="shared" si="1"/>
        <v>0</v>
      </c>
      <c r="J17" s="40">
        <f t="shared" si="2"/>
        <v>0.5</v>
      </c>
      <c r="O17" t="s">
        <v>59</v>
      </c>
      <c r="P17" t="e">
        <f>"Il faut continuer à travailler pour au moins atteindre 8 de moyenne. Attention, seulement dans un seul bloc. Vous devez augmenter votre moyenne de "&amp;N29&amp;"."</f>
        <v>#VALUE!</v>
      </c>
    </row>
    <row r="18" spans="1:16" ht="28.8" x14ac:dyDescent="0.3">
      <c r="A18" s="39" t="s">
        <v>12</v>
      </c>
      <c r="B18" s="70" t="s">
        <v>13</v>
      </c>
      <c r="C18" s="71">
        <v>1.5</v>
      </c>
      <c r="D18" s="52">
        <f>IFERROR(ROUND(SUMIF(Tableau3[Ressource],'Semestre 1'!B18,Tableau3[Colonne1])/SUMIF(Tableau3[Ressource],'Semestre 1'!B18,Tableau3[Coefficient]),2),"")</f>
        <v>12</v>
      </c>
      <c r="E18" s="24">
        <f>IFERROR(ROUND(SUMIF(Tableau3[Ressource],'Semestre 1'!B18,Tableau3[Colonne2])/SUMIF(Tableau3[Ressource],'Semestre 1'!B18,Tableau3[Coefficient]),2),"")</f>
        <v>11</v>
      </c>
      <c r="H18">
        <f t="shared" si="0"/>
        <v>16.5</v>
      </c>
      <c r="I18" s="40">
        <f t="shared" si="1"/>
        <v>18</v>
      </c>
      <c r="J18" s="40">
        <f t="shared" si="2"/>
        <v>1.5</v>
      </c>
    </row>
    <row r="19" spans="1:16" x14ac:dyDescent="0.3">
      <c r="A19" s="154"/>
      <c r="B19" s="70" t="s">
        <v>14</v>
      </c>
      <c r="C19" s="71">
        <v>1.5</v>
      </c>
      <c r="D19" s="52">
        <f>IFERROR(ROUND(SUMIF(Tableau3[Ressource],'Semestre 1'!B19,Tableau3[Colonne1])/SUMIF(Tableau3[Ressource],'Semestre 1'!B19,Tableau3[Coefficient]),2),"")</f>
        <v>12</v>
      </c>
      <c r="E19" s="24">
        <f>IFERROR(ROUND(SUMIF(Tableau3[Ressource],'Semestre 1'!B19,Tableau3[Colonne2])/SUMIF(Tableau3[Ressource],'Semestre 1'!B19,Tableau3[Coefficient]),2),"")</f>
        <v>13</v>
      </c>
      <c r="H19">
        <f t="shared" si="0"/>
        <v>19.5</v>
      </c>
      <c r="I19" s="40">
        <f t="shared" si="1"/>
        <v>18</v>
      </c>
      <c r="J19" s="40">
        <f t="shared" si="2"/>
        <v>1.5</v>
      </c>
      <c r="O19" t="s">
        <v>57</v>
      </c>
      <c r="P19" t="s">
        <v>60</v>
      </c>
    </row>
    <row r="20" spans="1:16" ht="28.8" x14ac:dyDescent="0.3">
      <c r="A20" s="154"/>
      <c r="B20" s="72" t="s">
        <v>15</v>
      </c>
      <c r="C20" s="73">
        <v>2.5</v>
      </c>
      <c r="D20" s="52">
        <f>IFERROR(ROUND(SUMIF(Tableau3[Ressource],'Semestre 1'!B20,Tableau3[Colonne1])/SUMIF(Tableau3[Ressource],'Semestre 1'!B20,Tableau3[Coefficient]),2),"")</f>
        <v>13</v>
      </c>
      <c r="E20" s="24">
        <f>IFERROR(ROUND(SUMIF(Tableau3[Ressource],'Semestre 1'!B20,Tableau3[Colonne2])/SUMIF(Tableau3[Ressource],'Semestre 1'!B20,Tableau3[Coefficient]),2),"")</f>
        <v>17</v>
      </c>
      <c r="H20">
        <f t="shared" si="0"/>
        <v>42.5</v>
      </c>
      <c r="I20" s="40">
        <f t="shared" si="1"/>
        <v>32.5</v>
      </c>
      <c r="J20" s="40">
        <f t="shared" si="2"/>
        <v>2.5</v>
      </c>
      <c r="O20" t="s">
        <v>58</v>
      </c>
      <c r="P20" t="str">
        <f>"Encore un petit effort, il faut que tu augmentes ta moyenne de "&amp;N35&amp;" points."</f>
        <v>Encore un petit effort, il faut que tu augmentes ta moyenne de 0,16 points.</v>
      </c>
    </row>
    <row r="21" spans="1:16" x14ac:dyDescent="0.3">
      <c r="A21" s="154"/>
      <c r="B21" s="72" t="s">
        <v>16</v>
      </c>
      <c r="C21" s="73">
        <v>2</v>
      </c>
      <c r="D21" s="52">
        <f>IFERROR(ROUND(SUMIF(Tableau3[Ressource],'Semestre 1'!B21,Tableau3[Colonne1])/SUMIF(Tableau3[Ressource],'Semestre 1'!B21,Tableau3[Coefficient]),2),"")</f>
        <v>3</v>
      </c>
      <c r="E21" s="24">
        <f>IFERROR(ROUND(SUMIF(Tableau3[Ressource],'Semestre 1'!B21,Tableau3[Colonne2])/SUMIF(Tableau3[Ressource],'Semestre 1'!B21,Tableau3[Coefficient]),2),"")</f>
        <v>15</v>
      </c>
      <c r="H21">
        <f t="shared" si="0"/>
        <v>30</v>
      </c>
      <c r="I21" s="40">
        <f t="shared" si="1"/>
        <v>6</v>
      </c>
      <c r="J21" s="40">
        <f t="shared" si="2"/>
        <v>2</v>
      </c>
      <c r="O21" t="s">
        <v>59</v>
      </c>
      <c r="P21" t="str">
        <f>"Il faut continuer à travailler pour au moins atteindre 8 de moyenne. Attention, seulement dans un seul bloc. Vous devez augmenter votre moyenne de "&amp;N35&amp;"."</f>
        <v>Il faut continuer à travailler pour au moins atteindre 8 de moyenne. Attention, seulement dans un seul bloc. Vous devez augmenter votre moyenne de 0,16.</v>
      </c>
    </row>
    <row r="22" spans="1:16" ht="28.8" x14ac:dyDescent="0.3">
      <c r="A22" s="155"/>
      <c r="B22" s="72" t="s">
        <v>17</v>
      </c>
      <c r="C22" s="73">
        <v>2</v>
      </c>
      <c r="D22" s="52" t="str">
        <f>IFERROR(ROUND(SUMIF(Tableau3[Ressource],'Semestre 1'!B22,Tableau3[Colonne1])/SUMIF(Tableau3[Ressource],'Semestre 1'!B22,Tableau3[Coefficient]),2),"")</f>
        <v/>
      </c>
      <c r="E22" s="24" t="str">
        <f>IFERROR(ROUND(SUMIF(Tableau3[Ressource],'Semestre 1'!B22,Tableau3[Colonne2])/SUMIF(Tableau3[Ressource],'Semestre 1'!B22,Tableau3[Coefficient]),2),"")</f>
        <v/>
      </c>
      <c r="H22" t="str">
        <f t="shared" si="0"/>
        <v>0</v>
      </c>
      <c r="I22" s="40">
        <f t="shared" si="1"/>
        <v>0</v>
      </c>
      <c r="J22" s="40" t="str">
        <f t="shared" si="2"/>
        <v>0</v>
      </c>
    </row>
    <row r="23" spans="1:16" x14ac:dyDescent="0.3">
      <c r="O23" t="s">
        <v>57</v>
      </c>
      <c r="P23" t="s">
        <v>60</v>
      </c>
    </row>
    <row r="24" spans="1:16" x14ac:dyDescent="0.3">
      <c r="O24" t="s">
        <v>58</v>
      </c>
      <c r="P24" t="str">
        <f>"Encore un petit effort, il faut que tu augmentes ta moyenne de "&amp;N42&amp;" points."</f>
        <v>Encore un petit effort, il faut que tu augmentes ta moyenne de 0,69 points.</v>
      </c>
    </row>
    <row r="25" spans="1:16" x14ac:dyDescent="0.3">
      <c r="O25" t="s">
        <v>59</v>
      </c>
      <c r="P25" t="str">
        <f>"Il faut continuer à travailler pour au moins atteindre 8 de moyenne. Attention, seulement dans un seul bloc. Vous devez augmenter votre moyenne de "&amp;N42&amp;"."</f>
        <v>Il faut continuer à travailler pour au moins atteindre 8 de moyenne. Attention, seulement dans un seul bloc. Vous devez augmenter votre moyenne de 0,69.</v>
      </c>
    </row>
    <row r="26" spans="1:16" ht="18" x14ac:dyDescent="0.35">
      <c r="A26" s="30" t="s">
        <v>49</v>
      </c>
      <c r="B26" s="106" t="s">
        <v>53</v>
      </c>
      <c r="C26" s="107" t="s">
        <v>61</v>
      </c>
      <c r="D26" s="158" t="s">
        <v>56</v>
      </c>
      <c r="E26" s="158"/>
      <c r="F26" s="158"/>
      <c r="G26" s="158"/>
      <c r="H26" s="158"/>
      <c r="I26" s="158"/>
      <c r="J26" s="158"/>
      <c r="K26" s="158"/>
      <c r="L26" s="158"/>
      <c r="M26" s="158"/>
    </row>
    <row r="27" spans="1:16" ht="15" customHeight="1" x14ac:dyDescent="0.3">
      <c r="A27" s="46" t="s">
        <v>39</v>
      </c>
      <c r="B27" s="145">
        <f>ROUND((SUM(I4:I9)/SUM(J4:J9)),2)</f>
        <v>17.57</v>
      </c>
      <c r="C27" s="134">
        <f>ROUND((SUM(H4:H9)/SUM(J4:J9)),2)</f>
        <v>14.2</v>
      </c>
      <c r="D27" s="133" t="str">
        <f>IF(B27&lt;8,P17,IF(B27&gt;10,P15,P16))</f>
        <v>Bravo continue comme ça, tu as atteint la moyenne !</v>
      </c>
      <c r="E27" s="133"/>
      <c r="F27" s="133"/>
      <c r="G27" s="133"/>
      <c r="H27" s="133"/>
      <c r="I27" s="133"/>
      <c r="J27" s="133"/>
      <c r="K27" s="133"/>
      <c r="L27" s="133"/>
      <c r="M27" s="133"/>
    </row>
    <row r="28" spans="1:16" ht="15" customHeight="1" x14ac:dyDescent="0.3">
      <c r="A28" s="156" t="s">
        <v>0</v>
      </c>
      <c r="B28" s="146"/>
      <c r="C28" s="135"/>
      <c r="D28" s="133"/>
      <c r="E28" s="133"/>
      <c r="F28" s="133"/>
      <c r="G28" s="133"/>
      <c r="H28" s="133"/>
      <c r="I28" s="133"/>
      <c r="J28" s="133"/>
      <c r="K28" s="133"/>
      <c r="L28" s="133"/>
      <c r="M28" s="133"/>
    </row>
    <row r="29" spans="1:16" ht="15" customHeight="1" x14ac:dyDescent="0.3">
      <c r="A29" s="156"/>
      <c r="B29" s="146"/>
      <c r="C29" s="135"/>
      <c r="D29" s="133"/>
      <c r="E29" s="133"/>
      <c r="F29" s="133"/>
      <c r="G29" s="133"/>
      <c r="H29" s="133"/>
      <c r="I29" s="133"/>
      <c r="J29" s="133"/>
      <c r="K29" s="133"/>
      <c r="L29" s="133"/>
      <c r="M29" s="133"/>
      <c r="N29" t="e">
        <f>ROUND(IF(B27&lt;8,8-B27,IF(B27&gt;10,"",10-B27)),2)</f>
        <v>#VALUE!</v>
      </c>
    </row>
    <row r="30" spans="1:16" ht="15" customHeight="1" x14ac:dyDescent="0.3">
      <c r="A30" s="156"/>
      <c r="B30" s="146"/>
      <c r="C30" s="135"/>
      <c r="D30" s="133"/>
      <c r="E30" s="133"/>
      <c r="F30" s="133"/>
      <c r="G30" s="133"/>
      <c r="H30" s="133"/>
      <c r="I30" s="133"/>
      <c r="J30" s="133"/>
      <c r="K30" s="133"/>
      <c r="L30" s="133"/>
      <c r="M30" s="133"/>
    </row>
    <row r="31" spans="1:16" ht="15" customHeight="1" x14ac:dyDescent="0.3">
      <c r="A31" s="156"/>
      <c r="B31" s="146"/>
      <c r="C31" s="135"/>
      <c r="D31" s="133"/>
      <c r="E31" s="133"/>
      <c r="F31" s="133"/>
      <c r="G31" s="133"/>
      <c r="H31" s="133"/>
      <c r="I31" s="133"/>
      <c r="J31" s="133"/>
      <c r="K31" s="133"/>
      <c r="L31" s="133"/>
      <c r="M31" s="133"/>
    </row>
    <row r="32" spans="1:16" ht="15" customHeight="1" x14ac:dyDescent="0.3">
      <c r="A32" s="157"/>
      <c r="B32" s="147"/>
      <c r="C32" s="136"/>
      <c r="D32" s="133"/>
      <c r="E32" s="133"/>
      <c r="F32" s="133"/>
      <c r="G32" s="133"/>
      <c r="H32" s="133"/>
      <c r="I32" s="133"/>
      <c r="J32" s="133"/>
      <c r="K32" s="133"/>
      <c r="L32" s="133"/>
      <c r="M32" s="133"/>
    </row>
    <row r="33" spans="1:14" x14ac:dyDescent="0.3">
      <c r="A33" s="35"/>
    </row>
    <row r="34" spans="1:14" ht="15" customHeight="1" x14ac:dyDescent="0.3">
      <c r="A34" s="47" t="s">
        <v>38</v>
      </c>
      <c r="B34" s="145">
        <f>ROUND((SUM(I11:I15)/SUM(J11:J15)),2)</f>
        <v>7.84</v>
      </c>
      <c r="C34" s="137">
        <f>ROUND((SUM(H11:H15)/SUM(J11:J15)),2)</f>
        <v>14.37</v>
      </c>
      <c r="D34" s="133" t="str">
        <f>IF(B34&lt;8,P21,IF(B34&gt;10,P19,P20))</f>
        <v>Il faut continuer à travailler pour au moins atteindre 8 de moyenne. Attention, seulement dans un seul bloc. Vous devez augmenter votre moyenne de 0,16.</v>
      </c>
      <c r="E34" s="133"/>
      <c r="F34" s="133"/>
      <c r="G34" s="133"/>
      <c r="H34" s="133"/>
      <c r="I34" s="133"/>
      <c r="J34" s="133"/>
      <c r="K34" s="133"/>
      <c r="L34" s="133"/>
      <c r="M34" s="133"/>
    </row>
    <row r="35" spans="1:14" ht="15" customHeight="1" x14ac:dyDescent="0.3">
      <c r="A35" s="124" t="s">
        <v>7</v>
      </c>
      <c r="B35" s="146"/>
      <c r="C35" s="137"/>
      <c r="D35" s="133"/>
      <c r="E35" s="133"/>
      <c r="F35" s="133"/>
      <c r="G35" s="133"/>
      <c r="H35" s="133"/>
      <c r="I35" s="133"/>
      <c r="J35" s="133"/>
      <c r="K35" s="133"/>
      <c r="L35" s="133"/>
      <c r="M35" s="133"/>
      <c r="N35">
        <f>ROUND(IF(B34&lt;8,8-B34,IF(B34&gt;10,"",10-B34)),2)</f>
        <v>0.16</v>
      </c>
    </row>
    <row r="36" spans="1:14" ht="15" customHeight="1" x14ac:dyDescent="0.3">
      <c r="A36" s="124"/>
      <c r="B36" s="146"/>
      <c r="C36" s="137"/>
      <c r="D36" s="133"/>
      <c r="E36" s="133"/>
      <c r="F36" s="133"/>
      <c r="G36" s="133"/>
      <c r="H36" s="133"/>
      <c r="I36" s="133"/>
      <c r="J36" s="133"/>
      <c r="K36" s="133"/>
      <c r="L36" s="133"/>
      <c r="M36" s="133"/>
    </row>
    <row r="37" spans="1:14" ht="15" customHeight="1" x14ac:dyDescent="0.3">
      <c r="A37" s="124"/>
      <c r="B37" s="146"/>
      <c r="C37" s="137"/>
      <c r="D37" s="133"/>
      <c r="E37" s="133"/>
      <c r="F37" s="133"/>
      <c r="G37" s="133"/>
      <c r="H37" s="133"/>
      <c r="I37" s="133"/>
      <c r="J37" s="133"/>
      <c r="K37" s="133"/>
      <c r="L37" s="133"/>
      <c r="M37" s="133"/>
    </row>
    <row r="38" spans="1:14" ht="15" customHeight="1" x14ac:dyDescent="0.3">
      <c r="A38" s="124"/>
      <c r="B38" s="146"/>
      <c r="C38" s="137"/>
      <c r="D38" s="133"/>
      <c r="E38" s="133"/>
      <c r="F38" s="133"/>
      <c r="G38" s="133"/>
      <c r="H38" s="133"/>
      <c r="I38" s="133"/>
      <c r="J38" s="133"/>
      <c r="K38" s="133"/>
      <c r="L38" s="133"/>
      <c r="M38" s="133"/>
    </row>
    <row r="39" spans="1:14" ht="15" customHeight="1" x14ac:dyDescent="0.3">
      <c r="A39" s="125"/>
      <c r="B39" s="147"/>
      <c r="C39" s="137"/>
      <c r="D39" s="133"/>
      <c r="E39" s="133"/>
      <c r="F39" s="133"/>
      <c r="G39" s="133"/>
      <c r="H39" s="133"/>
      <c r="I39" s="133"/>
      <c r="J39" s="133"/>
      <c r="K39" s="133"/>
      <c r="L39" s="133"/>
      <c r="M39" s="133"/>
    </row>
    <row r="40" spans="1:14" ht="15" customHeight="1" x14ac:dyDescent="0.3">
      <c r="A40" s="35"/>
    </row>
    <row r="41" spans="1:14" ht="15" customHeight="1" x14ac:dyDescent="0.3">
      <c r="A41" s="48" t="s">
        <v>37</v>
      </c>
      <c r="B41" s="130">
        <f>ROUND((SUM(I17:I22)/SUM(J17:J22)),2)</f>
        <v>9.31</v>
      </c>
      <c r="C41" s="138">
        <f>ROUND((SUM(H17:H22)/SUM(J17:J22)),2)</f>
        <v>14.38</v>
      </c>
      <c r="D41" s="133" t="str">
        <f>IF(B41&lt;8,P25,IF(B41&gt;10,P23,P24))</f>
        <v>Encore un petit effort, il faut que tu augmentes ta moyenne de 0,69 points.</v>
      </c>
      <c r="E41" s="133"/>
      <c r="F41" s="133"/>
      <c r="G41" s="133"/>
      <c r="H41" s="133"/>
      <c r="I41" s="133"/>
      <c r="J41" s="133"/>
      <c r="K41" s="133"/>
      <c r="L41" s="133"/>
      <c r="M41" s="133"/>
    </row>
    <row r="42" spans="1:14" ht="30" customHeight="1" x14ac:dyDescent="0.3">
      <c r="A42" s="143" t="s">
        <v>12</v>
      </c>
      <c r="B42" s="131"/>
      <c r="C42" s="139"/>
      <c r="D42" s="133"/>
      <c r="E42" s="133"/>
      <c r="F42" s="133"/>
      <c r="G42" s="133"/>
      <c r="H42" s="133"/>
      <c r="I42" s="133"/>
      <c r="J42" s="133"/>
      <c r="K42" s="133"/>
      <c r="L42" s="133"/>
      <c r="M42" s="133"/>
      <c r="N42">
        <f>ROUND(IF(B41&lt;8,8-B41,IF(B41&gt;10,"",10-B41)),2)</f>
        <v>0.69</v>
      </c>
    </row>
    <row r="43" spans="1:14" ht="15" customHeight="1" x14ac:dyDescent="0.3">
      <c r="A43" s="143"/>
      <c r="B43" s="131"/>
      <c r="C43" s="139"/>
      <c r="D43" s="133"/>
      <c r="E43" s="133"/>
      <c r="F43" s="133"/>
      <c r="G43" s="133"/>
      <c r="H43" s="133"/>
      <c r="I43" s="133"/>
      <c r="J43" s="133"/>
      <c r="K43" s="133"/>
      <c r="L43" s="133"/>
      <c r="M43" s="133"/>
    </row>
    <row r="44" spans="1:14" ht="15" customHeight="1" x14ac:dyDescent="0.3">
      <c r="A44" s="143"/>
      <c r="B44" s="131"/>
      <c r="C44" s="139"/>
      <c r="D44" s="133"/>
      <c r="E44" s="133"/>
      <c r="F44" s="133"/>
      <c r="G44" s="133"/>
      <c r="H44" s="133"/>
      <c r="I44" s="133"/>
      <c r="J44" s="133"/>
      <c r="K44" s="133"/>
      <c r="L44" s="133"/>
      <c r="M44" s="133"/>
    </row>
    <row r="45" spans="1:14" ht="15" customHeight="1" x14ac:dyDescent="0.3">
      <c r="A45" s="143"/>
      <c r="B45" s="131"/>
      <c r="C45" s="139"/>
      <c r="D45" s="133"/>
      <c r="E45" s="133"/>
      <c r="F45" s="133"/>
      <c r="G45" s="133"/>
      <c r="H45" s="133"/>
      <c r="I45" s="133"/>
      <c r="J45" s="133"/>
      <c r="K45" s="133"/>
      <c r="L45" s="133"/>
      <c r="M45" s="133"/>
    </row>
    <row r="46" spans="1:14" ht="15" customHeight="1" x14ac:dyDescent="0.3">
      <c r="A46" s="144"/>
      <c r="B46" s="132"/>
      <c r="C46" s="140"/>
      <c r="D46" s="133"/>
      <c r="E46" s="133"/>
      <c r="F46" s="133"/>
      <c r="G46" s="133"/>
      <c r="H46" s="133"/>
      <c r="I46" s="133"/>
      <c r="J46" s="133"/>
      <c r="K46" s="133"/>
      <c r="L46" s="133"/>
      <c r="M46" s="133"/>
    </row>
    <row r="47" spans="1:14" ht="15" thickBot="1" x14ac:dyDescent="0.35"/>
    <row r="48" spans="1:14" x14ac:dyDescent="0.3">
      <c r="A48" s="126" t="s">
        <v>55</v>
      </c>
      <c r="B48" s="128">
        <f>SUM(B27:B46)/3</f>
        <v>11.573333333333332</v>
      </c>
      <c r="C48" s="141">
        <f>ROUND(((C27+C34+C41)/3),2)</f>
        <v>14.32</v>
      </c>
    </row>
    <row r="49" spans="1:3" ht="15" thickBot="1" x14ac:dyDescent="0.35">
      <c r="A49" s="127"/>
      <c r="B49" s="129"/>
      <c r="C49" s="142"/>
    </row>
  </sheetData>
  <sheetProtection sheet="1" objects="1" scenarios="1"/>
  <mergeCells count="20">
    <mergeCell ref="A1:M1"/>
    <mergeCell ref="A7:A9"/>
    <mergeCell ref="A13:A15"/>
    <mergeCell ref="A19:A22"/>
    <mergeCell ref="A28:A32"/>
    <mergeCell ref="D26:M26"/>
    <mergeCell ref="A35:A39"/>
    <mergeCell ref="A48:A49"/>
    <mergeCell ref="B48:B49"/>
    <mergeCell ref="B41:B46"/>
    <mergeCell ref="D27:M32"/>
    <mergeCell ref="C27:C32"/>
    <mergeCell ref="D34:M39"/>
    <mergeCell ref="C34:C39"/>
    <mergeCell ref="D41:M46"/>
    <mergeCell ref="C41:C46"/>
    <mergeCell ref="C48:C49"/>
    <mergeCell ref="A42:A46"/>
    <mergeCell ref="B27:B32"/>
    <mergeCell ref="B34:B39"/>
  </mergeCells>
  <conditionalFormatting sqref="B27:B46">
    <cfRule type="cellIs" dxfId="30" priority="1" operator="between">
      <formula>8</formula>
      <formula>10</formula>
    </cfRule>
    <cfRule type="cellIs" dxfId="29" priority="2" operator="lessThanOrEqual">
      <formula>8</formula>
    </cfRule>
    <cfRule type="cellIs" dxfId="28" priority="3" operator="greaterThanOrEqual">
      <formula>10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70C51-FC0E-4028-B520-E0EE5F092045}">
  <sheetPr codeName="Feuil3"/>
  <dimension ref="A1:H26"/>
  <sheetViews>
    <sheetView topLeftCell="A10" zoomScale="70" zoomScaleNormal="70" workbookViewId="0">
      <selection activeCell="C5" sqref="C5"/>
    </sheetView>
  </sheetViews>
  <sheetFormatPr baseColWidth="10" defaultRowHeight="14.4" x14ac:dyDescent="0.3"/>
  <cols>
    <col min="2" max="2" width="59" bestFit="1" customWidth="1"/>
    <col min="3" max="3" width="76" customWidth="1"/>
    <col min="5" max="5" width="18.21875" bestFit="1" customWidth="1"/>
    <col min="6" max="6" width="12" hidden="1" customWidth="1"/>
    <col min="7" max="7" width="27.5546875" bestFit="1" customWidth="1"/>
    <col min="8" max="8" width="12" hidden="1" customWidth="1"/>
  </cols>
  <sheetData>
    <row r="1" spans="1:8" ht="31.5" customHeight="1" x14ac:dyDescent="0.3">
      <c r="A1" s="159" t="s">
        <v>69</v>
      </c>
      <c r="B1" s="159"/>
      <c r="C1" s="159"/>
      <c r="D1" s="159"/>
      <c r="E1" s="159"/>
      <c r="F1" s="159"/>
      <c r="G1" s="159"/>
      <c r="H1" s="159"/>
    </row>
    <row r="3" spans="1:8" x14ac:dyDescent="0.3">
      <c r="B3" s="78" t="s">
        <v>64</v>
      </c>
      <c r="C3" s="115"/>
    </row>
    <row r="5" spans="1:8" x14ac:dyDescent="0.3">
      <c r="B5" s="78" t="s">
        <v>65</v>
      </c>
      <c r="C5" s="115"/>
    </row>
    <row r="10" spans="1:8" x14ac:dyDescent="0.3">
      <c r="A10" s="120" t="s">
        <v>83</v>
      </c>
      <c r="B10" s="121" t="s">
        <v>49</v>
      </c>
      <c r="C10" s="121" t="s">
        <v>50</v>
      </c>
      <c r="D10" s="121" t="s">
        <v>48</v>
      </c>
      <c r="E10" s="121" t="s">
        <v>51</v>
      </c>
      <c r="F10" s="121" t="s">
        <v>54</v>
      </c>
      <c r="G10" s="121" t="s">
        <v>61</v>
      </c>
      <c r="H10" s="121" t="s">
        <v>62</v>
      </c>
    </row>
    <row r="11" spans="1:8" x14ac:dyDescent="0.3">
      <c r="A11" s="119">
        <v>1</v>
      </c>
      <c r="B11" s="80" t="s">
        <v>45</v>
      </c>
      <c r="C11" s="81" t="s">
        <v>9</v>
      </c>
      <c r="D11" s="81">
        <v>8</v>
      </c>
      <c r="E11" s="81">
        <v>3</v>
      </c>
      <c r="F11" s="81">
        <f>ROUND((Tableau3[[#This Row],[note]]*Tableau3[[#This Row],[Coefficient]]),2)</f>
        <v>24</v>
      </c>
      <c r="G11" s="81">
        <v>20</v>
      </c>
      <c r="H11" s="81">
        <f>Tableau3[[#This Row],[moyenne de classe]]*Tableau3[[#This Row],[Coefficient]]</f>
        <v>60</v>
      </c>
    </row>
    <row r="12" spans="1:8" x14ac:dyDescent="0.3">
      <c r="A12" s="119">
        <f>A11+1</f>
        <v>2</v>
      </c>
      <c r="B12" s="80" t="s">
        <v>45</v>
      </c>
      <c r="C12" s="81" t="s">
        <v>10</v>
      </c>
      <c r="D12" s="81">
        <v>12</v>
      </c>
      <c r="E12" s="81">
        <v>3</v>
      </c>
      <c r="F12" s="81">
        <f>ROUND((Tableau3[[#This Row],[note]]*Tableau3[[#This Row],[Coefficient]]),2)</f>
        <v>36</v>
      </c>
      <c r="G12" s="81">
        <v>14</v>
      </c>
      <c r="H12" s="81">
        <f>Tableau3[[#This Row],[moyenne de classe]]*Tableau3[[#This Row],[Coefficient]]</f>
        <v>42</v>
      </c>
    </row>
    <row r="13" spans="1:8" x14ac:dyDescent="0.3">
      <c r="A13" s="119">
        <f t="shared" ref="A13:A23" si="0">A12+1</f>
        <v>3</v>
      </c>
      <c r="B13" s="80" t="s">
        <v>43</v>
      </c>
      <c r="C13" s="81" t="s">
        <v>4</v>
      </c>
      <c r="D13" s="81">
        <v>20</v>
      </c>
      <c r="E13" s="81">
        <v>0.5</v>
      </c>
      <c r="F13" s="81">
        <f>ROUND((Tableau3[[#This Row],[note]]*Tableau3[[#This Row],[Coefficient]]),2)</f>
        <v>10</v>
      </c>
      <c r="G13" s="81">
        <v>14</v>
      </c>
      <c r="H13" s="81">
        <f>Tableau3[[#This Row],[moyenne de classe]]*Tableau3[[#This Row],[Coefficient]]</f>
        <v>7</v>
      </c>
    </row>
    <row r="14" spans="1:8" x14ac:dyDescent="0.3">
      <c r="A14" s="119">
        <f t="shared" si="0"/>
        <v>4</v>
      </c>
      <c r="B14" s="80" t="s">
        <v>45</v>
      </c>
      <c r="C14" s="81" t="s">
        <v>1</v>
      </c>
      <c r="D14" s="81">
        <v>0</v>
      </c>
      <c r="E14" s="81">
        <v>2</v>
      </c>
      <c r="F14" s="82">
        <f>ROUND((Tableau3[[#This Row],[note]]*Tableau3[[#This Row],[Coefficient]]),2)</f>
        <v>0</v>
      </c>
      <c r="G14" s="81">
        <v>13</v>
      </c>
      <c r="H14" s="81">
        <f>Tableau3[[#This Row],[moyenne de classe]]*Tableau3[[#This Row],[Coefficient]]</f>
        <v>26</v>
      </c>
    </row>
    <row r="15" spans="1:8" x14ac:dyDescent="0.3">
      <c r="A15" s="119">
        <f t="shared" si="0"/>
        <v>5</v>
      </c>
      <c r="B15" s="80" t="s">
        <v>45</v>
      </c>
      <c r="C15" s="81" t="s">
        <v>8</v>
      </c>
      <c r="D15" s="81">
        <v>2</v>
      </c>
      <c r="E15" s="81">
        <v>2</v>
      </c>
      <c r="F15" s="82">
        <f>ROUND((Tableau3[[#This Row],[note]]*Tableau3[[#This Row],[Coefficient]]),2)</f>
        <v>4</v>
      </c>
      <c r="G15" s="81">
        <v>14</v>
      </c>
      <c r="H15" s="81">
        <f>Tableau3[[#This Row],[moyenne de classe]]*Tableau3[[#This Row],[Coefficient]]</f>
        <v>28</v>
      </c>
    </row>
    <row r="16" spans="1:8" x14ac:dyDescent="0.3">
      <c r="A16" s="119">
        <f t="shared" si="0"/>
        <v>6</v>
      </c>
      <c r="B16" s="80" t="s">
        <v>45</v>
      </c>
      <c r="C16" s="81" t="s">
        <v>9</v>
      </c>
      <c r="D16" s="81">
        <v>12</v>
      </c>
      <c r="E16" s="81">
        <v>2</v>
      </c>
      <c r="F16" s="82">
        <f>ROUND((Tableau3[[#This Row],[note]]*Tableau3[[#This Row],[Coefficient]]),2)</f>
        <v>24</v>
      </c>
      <c r="G16" s="81">
        <v>14</v>
      </c>
      <c r="H16" s="82">
        <f>Tableau3[[#This Row],[moyenne de classe]]*Tableau3[[#This Row],[Coefficient]]</f>
        <v>28</v>
      </c>
    </row>
    <row r="17" spans="1:8" x14ac:dyDescent="0.3">
      <c r="A17" s="119">
        <f t="shared" si="0"/>
        <v>7</v>
      </c>
      <c r="B17" s="103" t="s">
        <v>42</v>
      </c>
      <c r="C17" t="s">
        <v>14</v>
      </c>
      <c r="D17">
        <v>12</v>
      </c>
      <c r="E17">
        <v>2</v>
      </c>
      <c r="F17" s="60">
        <f>ROUND((Tableau3[[#This Row],[note]]*Tableau3[[#This Row],[Coefficient]]),2)</f>
        <v>24</v>
      </c>
      <c r="G17">
        <v>13</v>
      </c>
      <c r="H17" s="60">
        <f>Tableau3[[#This Row],[moyenne de classe]]*Tableau3[[#This Row],[Coefficient]]</f>
        <v>26</v>
      </c>
    </row>
    <row r="18" spans="1:8" x14ac:dyDescent="0.3">
      <c r="A18" s="119">
        <f t="shared" si="0"/>
        <v>8</v>
      </c>
      <c r="B18" s="103" t="s">
        <v>42</v>
      </c>
      <c r="C18" t="s">
        <v>13</v>
      </c>
      <c r="D18">
        <v>12</v>
      </c>
      <c r="E18">
        <v>1</v>
      </c>
      <c r="F18" s="60">
        <f>ROUND((Tableau3[[#This Row],[note]]*Tableau3[[#This Row],[Coefficient]]),2)</f>
        <v>12</v>
      </c>
      <c r="G18">
        <v>11</v>
      </c>
      <c r="H18" s="60">
        <f>Tableau3[[#This Row],[moyenne de classe]]*Tableau3[[#This Row],[Coefficient]]</f>
        <v>11</v>
      </c>
    </row>
    <row r="19" spans="1:8" x14ac:dyDescent="0.3">
      <c r="A19" s="119">
        <f t="shared" si="0"/>
        <v>9</v>
      </c>
      <c r="B19" s="103" t="s">
        <v>45</v>
      </c>
      <c r="C19" t="s">
        <v>10</v>
      </c>
      <c r="D19">
        <v>15</v>
      </c>
      <c r="E19">
        <v>1</v>
      </c>
      <c r="F19" s="60">
        <f>ROUND((Tableau3[[#This Row],[note]]*Tableau3[[#This Row],[Coefficient]]),2)</f>
        <v>15</v>
      </c>
      <c r="G19">
        <v>12</v>
      </c>
      <c r="H19" s="60">
        <f>Tableau3[[#This Row],[moyenne de classe]]*Tableau3[[#This Row],[Coefficient]]</f>
        <v>12</v>
      </c>
    </row>
    <row r="20" spans="1:8" x14ac:dyDescent="0.3">
      <c r="A20" s="119">
        <f t="shared" si="0"/>
        <v>10</v>
      </c>
      <c r="B20" s="103" t="s">
        <v>42</v>
      </c>
      <c r="C20" t="s">
        <v>15</v>
      </c>
      <c r="D20">
        <v>13</v>
      </c>
      <c r="E20">
        <v>20</v>
      </c>
      <c r="F20" s="60">
        <f>ROUND((Tableau3[[#This Row],[note]]*Tableau3[[#This Row],[Coefficient]]),2)</f>
        <v>260</v>
      </c>
      <c r="G20">
        <v>17</v>
      </c>
      <c r="H20" s="60">
        <f>Tableau3[[#This Row],[moyenne de classe]]*Tableau3[[#This Row],[Coefficient]]</f>
        <v>340</v>
      </c>
    </row>
    <row r="21" spans="1:8" x14ac:dyDescent="0.3">
      <c r="A21" s="119">
        <f t="shared" si="0"/>
        <v>11</v>
      </c>
      <c r="B21" s="103" t="s">
        <v>43</v>
      </c>
      <c r="C21" t="s">
        <v>6</v>
      </c>
      <c r="D21">
        <v>15</v>
      </c>
      <c r="E21">
        <v>1</v>
      </c>
      <c r="F21" s="60">
        <f>ROUND((Tableau3[[#This Row],[note]]*Tableau3[[#This Row],[Coefficient]]),2)</f>
        <v>15</v>
      </c>
      <c r="G21">
        <v>14</v>
      </c>
      <c r="H21" s="60">
        <f>Tableau3[[#This Row],[moyenne de classe]]*Tableau3[[#This Row],[Coefficient]]</f>
        <v>14</v>
      </c>
    </row>
    <row r="22" spans="1:8" x14ac:dyDescent="0.3">
      <c r="A22" s="119">
        <f>A21+1</f>
        <v>12</v>
      </c>
      <c r="B22" s="103" t="s">
        <v>43</v>
      </c>
      <c r="C22" t="s">
        <v>3</v>
      </c>
      <c r="D22">
        <v>18.5</v>
      </c>
      <c r="E22">
        <v>1</v>
      </c>
      <c r="F22" s="60">
        <f>ROUND((Tableau3[[#This Row],[note]]*Tableau3[[#This Row],[Coefficient]]),2)</f>
        <v>18.5</v>
      </c>
      <c r="G22">
        <v>10</v>
      </c>
      <c r="H22" s="60">
        <f>Tableau3[[#This Row],[moyenne de classe]]*Tableau3[[#This Row],[Coefficient]]</f>
        <v>10</v>
      </c>
    </row>
    <row r="23" spans="1:8" x14ac:dyDescent="0.3">
      <c r="A23" s="119">
        <f t="shared" si="0"/>
        <v>13</v>
      </c>
      <c r="B23" s="103" t="s">
        <v>45</v>
      </c>
      <c r="C23" t="s">
        <v>10</v>
      </c>
      <c r="D23">
        <v>0</v>
      </c>
      <c r="E23">
        <v>2</v>
      </c>
      <c r="F23" s="60">
        <f>ROUND((Tableau3[[#This Row],[note]]*Tableau3[[#This Row],[Coefficient]]),2)</f>
        <v>0</v>
      </c>
      <c r="G23">
        <v>12</v>
      </c>
      <c r="H23" s="60">
        <f>Tableau3[[#This Row],[moyenne de classe]]*Tableau3[[#This Row],[Coefficient]]</f>
        <v>24</v>
      </c>
    </row>
    <row r="24" spans="1:8" x14ac:dyDescent="0.3">
      <c r="A24" s="119">
        <v>14</v>
      </c>
      <c r="B24" s="103" t="s">
        <v>42</v>
      </c>
      <c r="C24" t="s">
        <v>16</v>
      </c>
      <c r="D24">
        <v>3</v>
      </c>
      <c r="E24">
        <v>2</v>
      </c>
      <c r="F24" s="60">
        <f>ROUND((Tableau3[[#This Row],[note]]*Tableau3[[#This Row],[Coefficient]]),2)</f>
        <v>6</v>
      </c>
      <c r="G24">
        <v>15</v>
      </c>
      <c r="H24" s="60">
        <f>Tableau3[[#This Row],[moyenne de classe]]*Tableau3[[#This Row],[Coefficient]]</f>
        <v>30</v>
      </c>
    </row>
    <row r="25" spans="1:8" x14ac:dyDescent="0.3">
      <c r="A25" s="119">
        <v>15</v>
      </c>
      <c r="B25" s="103" t="s">
        <v>43</v>
      </c>
      <c r="C25" t="s">
        <v>2</v>
      </c>
      <c r="D25">
        <v>16.5</v>
      </c>
      <c r="E25">
        <v>1</v>
      </c>
      <c r="F25" s="60">
        <f>ROUND((Tableau3[[#This Row],[note]]*Tableau3[[#This Row],[Coefficient]]),2)</f>
        <v>16.5</v>
      </c>
      <c r="G25">
        <v>16</v>
      </c>
      <c r="H25" s="60">
        <f>Tableau3[[#This Row],[moyenne de classe]]*Tableau3[[#This Row],[Coefficient]]</f>
        <v>16</v>
      </c>
    </row>
    <row r="26" spans="1:8" x14ac:dyDescent="0.3">
      <c r="A26" s="119">
        <v>16</v>
      </c>
      <c r="B26" s="103" t="s">
        <v>45</v>
      </c>
      <c r="C26" t="s">
        <v>8</v>
      </c>
      <c r="D26">
        <v>19.5</v>
      </c>
      <c r="E26">
        <v>1</v>
      </c>
      <c r="F26" s="60">
        <f>ROUND((Tableau3[[#This Row],[note]]*Tableau3[[#This Row],[Coefficient]]),2)</f>
        <v>19.5</v>
      </c>
      <c r="G26">
        <v>13</v>
      </c>
      <c r="H26" s="60">
        <f>Tableau3[[#This Row],[moyenne de classe]]*Tableau3[[#This Row],[Coefficient]]</f>
        <v>13</v>
      </c>
    </row>
  </sheetData>
  <sheetProtection sheet="1" objects="1" scenarios="1"/>
  <dataConsolidate/>
  <mergeCells count="1">
    <mergeCell ref="A1:H1"/>
  </mergeCells>
  <conditionalFormatting sqref="A10:H69">
    <cfRule type="expression" dxfId="27" priority="9">
      <formula>OR($B10="S1_Analyser_statistiquement_les_données")</formula>
    </cfRule>
    <cfRule type="expression" dxfId="26" priority="10">
      <formula>OR($B10="S1_Valoriser_une_production_dans_un_contexte_professionnel")</formula>
    </cfRule>
    <cfRule type="expression" dxfId="25" priority="11">
      <formula>OR($B10="S1_Traiter_des_données_à_des_fins_décisionnelles")</formula>
    </cfRule>
  </conditionalFormatting>
  <dataValidations count="1">
    <dataValidation type="list" allowBlank="1" showInputMessage="1" showErrorMessage="1" sqref="C5" xr:uid="{926B752C-B1B1-442F-BBE3-DD8D97B580EC}">
      <formula1>INDIRECT($C$3)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19" r:id="rId4" name="S1AjouterNote">
          <controlPr defaultSize="0" autoLine="0" r:id="rId5">
            <anchor moveWithCells="1">
              <from>
                <xdr:col>2</xdr:col>
                <xdr:colOff>670560</xdr:colOff>
                <xdr:row>5</xdr:row>
                <xdr:rowOff>175260</xdr:rowOff>
              </from>
              <to>
                <xdr:col>2</xdr:col>
                <xdr:colOff>3276600</xdr:colOff>
                <xdr:row>8</xdr:row>
                <xdr:rowOff>22860</xdr:rowOff>
              </to>
            </anchor>
          </controlPr>
        </control>
      </mc:Choice>
      <mc:Fallback>
        <control shapeId="4119" r:id="rId4" name="S1AjouterNote"/>
      </mc:Fallback>
    </mc:AlternateContent>
    <mc:AlternateContent xmlns:mc="http://schemas.openxmlformats.org/markup-compatibility/2006">
      <mc:Choice Requires="x14">
        <control shapeId="4125" r:id="rId6" name="S1ModifierNote">
          <controlPr defaultSize="0" autoLine="0" r:id="rId7">
            <anchor moveWithCells="1">
              <from>
                <xdr:col>3</xdr:col>
                <xdr:colOff>624840</xdr:colOff>
                <xdr:row>6</xdr:row>
                <xdr:rowOff>7620</xdr:rowOff>
              </from>
              <to>
                <xdr:col>6</xdr:col>
                <xdr:colOff>754380</xdr:colOff>
                <xdr:row>8</xdr:row>
                <xdr:rowOff>53340</xdr:rowOff>
              </to>
            </anchor>
          </controlPr>
        </control>
      </mc:Choice>
      <mc:Fallback>
        <control shapeId="4125" r:id="rId6" name="S1ModifierNote"/>
      </mc:Fallback>
    </mc:AlternateContent>
  </controls>
  <tableParts count="1"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883E4D-5749-4725-B21F-C3D49CB9FA0B}">
          <x14:formula1>
            <xm:f>Annexe!$A$1:$C$1</xm:f>
          </x14:formula1>
          <xm:sqref>C3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091C7-586D-42B0-9131-B001493D50DB}">
  <sheetPr codeName="Feuil6"/>
  <dimension ref="A1:S57"/>
  <sheetViews>
    <sheetView zoomScale="40" zoomScaleNormal="40" workbookViewId="0">
      <selection activeCell="E58" sqref="E58"/>
    </sheetView>
  </sheetViews>
  <sheetFormatPr baseColWidth="10" defaultRowHeight="14.4" x14ac:dyDescent="0.3"/>
  <cols>
    <col min="1" max="1" width="28.5546875" bestFit="1" customWidth="1"/>
    <col min="2" max="2" width="54.21875" bestFit="1" customWidth="1"/>
    <col min="3" max="3" width="32.33203125" bestFit="1" customWidth="1"/>
    <col min="4" max="4" width="54.21875" customWidth="1"/>
    <col min="5" max="5" width="29" bestFit="1" customWidth="1"/>
    <col min="6" max="6" width="17.77734375" bestFit="1" customWidth="1"/>
    <col min="7" max="7" width="19.44140625" bestFit="1" customWidth="1"/>
    <col min="11" max="11" width="22.21875" customWidth="1"/>
    <col min="12" max="12" width="10.5546875" hidden="1" customWidth="1"/>
    <col min="13" max="14" width="4.5546875" hidden="1" customWidth="1"/>
    <col min="15" max="16" width="0" hidden="1" customWidth="1"/>
    <col min="17" max="17" width="15.21875" hidden="1" customWidth="1"/>
    <col min="18" max="18" width="0" hidden="1" customWidth="1"/>
    <col min="19" max="19" width="150.109375" hidden="1" customWidth="1"/>
    <col min="20" max="20" width="0.21875" customWidth="1"/>
  </cols>
  <sheetData>
    <row r="1" spans="1:15" ht="33.6" customHeight="1" x14ac:dyDescent="0.3">
      <c r="A1" s="159" t="s">
        <v>67</v>
      </c>
      <c r="B1" s="184"/>
      <c r="C1" s="184"/>
      <c r="D1" s="184"/>
      <c r="E1" s="184"/>
      <c r="F1" s="184"/>
      <c r="G1" s="184"/>
      <c r="H1" s="184"/>
      <c r="I1" s="184"/>
      <c r="J1" s="184"/>
      <c r="K1" s="184"/>
    </row>
    <row r="3" spans="1:15" ht="18" x14ac:dyDescent="0.35">
      <c r="A3" s="30" t="s">
        <v>49</v>
      </c>
      <c r="B3" s="30" t="s">
        <v>50</v>
      </c>
      <c r="C3" s="30" t="s">
        <v>52</v>
      </c>
      <c r="D3" s="109" t="s">
        <v>53</v>
      </c>
      <c r="E3" s="108" t="s">
        <v>61</v>
      </c>
    </row>
    <row r="4" spans="1:15" x14ac:dyDescent="0.3">
      <c r="A4" s="1" t="s">
        <v>39</v>
      </c>
      <c r="B4" s="3" t="s">
        <v>18</v>
      </c>
      <c r="C4" s="53">
        <v>0.5</v>
      </c>
      <c r="D4" s="56" t="str">
        <f>IFERROR(SUMIF(Tableau4[Ressource],'Semestre 2'!B3,Tableau4[Colonne1])/SUMIF(Tableau4[Ressource],'Semestre 2'!B3,Tableau4[Coefficient]), "")</f>
        <v/>
      </c>
      <c r="E4" s="74" t="str">
        <f>IFERROR(ROUND(SUMIF(Tableau4[Ressource],'Semestre 2'!B3,Tableau4[Colonne2])/SUMIF(Tableau4[Ressource],'Semestre 2'!B3,Tableau4[Coefficient]),2), "")</f>
        <v/>
      </c>
      <c r="M4" t="str">
        <f t="shared" ref="M4:M11" si="0">IFERROR(E4*C4,"0")</f>
        <v>0</v>
      </c>
      <c r="N4" s="41" t="str">
        <f t="shared" ref="N4:N11" si="1">IFERROR(C4*D4,"0")</f>
        <v>0</v>
      </c>
      <c r="O4" s="41" t="str">
        <f t="shared" ref="O4:O11" si="2">IF(D4&lt;&gt;"",C4,"0")</f>
        <v>0</v>
      </c>
    </row>
    <row r="5" spans="1:15" ht="28.8" x14ac:dyDescent="0.3">
      <c r="A5" s="2" t="s">
        <v>0</v>
      </c>
      <c r="B5" s="4" t="s">
        <v>19</v>
      </c>
      <c r="C5" s="16">
        <v>1.5</v>
      </c>
      <c r="D5" s="57">
        <f>IFERROR(ROUND(SUMIF(Tableau4[Ressource],'Semestre 2'!B4,Tableau4[Colonne1])/SUMIF(Tableau4[Ressource],'Semestre 2'!B4,Tableau4[Coefficient]),2), "")</f>
        <v>16</v>
      </c>
      <c r="E5" s="75">
        <f>IFERROR(ROUND(SUMIF(Tableau4[Ressource],'Semestre 2'!B4,Tableau4[Colonne2])/SUMIF(Tableau4[Ressource],'Semestre 2'!B4,Tableau4[Coefficient]),2), "")</f>
        <v>14</v>
      </c>
      <c r="M5">
        <f t="shared" si="0"/>
        <v>21</v>
      </c>
      <c r="N5" s="41">
        <f t="shared" si="1"/>
        <v>24</v>
      </c>
      <c r="O5" s="41">
        <f t="shared" si="2"/>
        <v>1.5</v>
      </c>
    </row>
    <row r="6" spans="1:15" x14ac:dyDescent="0.3">
      <c r="A6" s="164"/>
      <c r="B6" s="4" t="s">
        <v>20</v>
      </c>
      <c r="C6" s="16">
        <v>1.5</v>
      </c>
      <c r="D6" s="57">
        <f>IFERROR(ROUND(SUMIF(Tableau4[Ressource],'Semestre 2'!B5,Tableau4[Colonne1])/SUMIF(Tableau4[Ressource],'Semestre 2'!B5,Tableau4[Coefficient]),2), "")</f>
        <v>20</v>
      </c>
      <c r="E6" s="75">
        <f>IFERROR(ROUND(SUMIF(Tableau4[Ressource],'Semestre 2'!B5,Tableau4[Colonne2])/SUMIF(Tableau4[Ressource],'Semestre 2'!B5,Tableau4[Coefficient]),2), "")</f>
        <v>13</v>
      </c>
      <c r="M6">
        <f t="shared" si="0"/>
        <v>19.5</v>
      </c>
      <c r="N6" s="41">
        <f t="shared" si="1"/>
        <v>30</v>
      </c>
      <c r="O6" s="41">
        <f t="shared" si="2"/>
        <v>1.5</v>
      </c>
    </row>
    <row r="7" spans="1:15" x14ac:dyDescent="0.3">
      <c r="A7" s="164"/>
      <c r="B7" s="4" t="s">
        <v>21</v>
      </c>
      <c r="C7" s="16">
        <v>1.5</v>
      </c>
      <c r="D7" s="57" t="str">
        <f>IFERROR(ROUND(SUMIF(Tableau4[Ressource],'Semestre 2'!B6,Tableau4[Colonne1])/SUMIF(Tableau4[Ressource],'Semestre 2'!B6,Tableau4[Coefficient]),2), "")</f>
        <v/>
      </c>
      <c r="E7" s="75" t="str">
        <f>IFERROR(ROUND(SUMIF(Tableau4[Ressource],'Semestre 2'!B6,Tableau4[Colonne2])/SUMIF(Tableau4[Ressource],'Semestre 2'!B6,Tableau4[Coefficient]),2), "")</f>
        <v/>
      </c>
      <c r="M7" t="str">
        <f t="shared" si="0"/>
        <v>0</v>
      </c>
      <c r="N7" s="41" t="str">
        <f t="shared" si="1"/>
        <v>0</v>
      </c>
      <c r="O7" s="41" t="str">
        <f t="shared" si="2"/>
        <v>0</v>
      </c>
    </row>
    <row r="8" spans="1:15" x14ac:dyDescent="0.3">
      <c r="A8" s="164"/>
      <c r="B8" s="4" t="s">
        <v>22</v>
      </c>
      <c r="C8" s="16">
        <v>1</v>
      </c>
      <c r="D8" s="57">
        <f>IFERROR(ROUND(SUMIF(Tableau4[Ressource],'Semestre 2'!B7,Tableau4[Colonne1])/SUMIF(Tableau4[Ressource],'Semestre 2'!B7,Tableau4[Coefficient]),2), "")</f>
        <v>13</v>
      </c>
      <c r="E8" s="75">
        <f>IFERROR(ROUND(SUMIF(Tableau4[Ressource],'Semestre 2'!B7,Tableau4[Colonne2])/SUMIF(Tableau4[Ressource],'Semestre 2'!B7,Tableau4[Coefficient]),2), "")</f>
        <v>12</v>
      </c>
      <c r="M8">
        <f t="shared" si="0"/>
        <v>12</v>
      </c>
      <c r="N8" s="41">
        <f t="shared" si="1"/>
        <v>13</v>
      </c>
      <c r="O8" s="41">
        <f t="shared" si="2"/>
        <v>1</v>
      </c>
    </row>
    <row r="9" spans="1:15" x14ac:dyDescent="0.3">
      <c r="A9" s="164"/>
      <c r="B9" s="54" t="s">
        <v>23</v>
      </c>
      <c r="C9" s="53">
        <v>2</v>
      </c>
      <c r="D9" s="56" t="str">
        <f>IFERROR(ROUND(SUMIF(Tableau4[Ressource],'Semestre 2'!B8,Tableau4[Colonne1])/SUMIF(Tableau4[Ressource],'Semestre 2'!B8,Tableau4[Coefficient]),2), "")</f>
        <v/>
      </c>
      <c r="E9" s="74" t="str">
        <f>IFERROR(ROUND(SUMIF(Tableau4[Ressource],'Semestre 2'!B8,Tableau4[Colonne2])/SUMIF(Tableau4[Ressource],'Semestre 2'!B8,Tableau4[Coefficient]),2), "")</f>
        <v/>
      </c>
      <c r="M9" t="str">
        <f t="shared" si="0"/>
        <v>0</v>
      </c>
      <c r="N9" s="41" t="str">
        <f t="shared" si="1"/>
        <v>0</v>
      </c>
      <c r="O9" s="41" t="str">
        <f t="shared" si="2"/>
        <v>0</v>
      </c>
    </row>
    <row r="10" spans="1:15" x14ac:dyDescent="0.3">
      <c r="A10" s="164"/>
      <c r="B10" s="17" t="s">
        <v>24</v>
      </c>
      <c r="C10" s="16">
        <v>1.5</v>
      </c>
      <c r="D10" s="57">
        <f>IFERROR(ROUND(SUMIF(Tableau4[Ressource],'Semestre 2'!B9,Tableau4[Colonne1])/SUMIF(Tableau4[Ressource],'Semestre 2'!B9,Tableau4[Coefficient]),2), "")</f>
        <v>14</v>
      </c>
      <c r="E10" s="75">
        <f>IFERROR(ROUND(SUMIF(Tableau4[Ressource],'Semestre 2'!B9,Tableau4[Colonne2])/SUMIF(Tableau4[Ressource],'Semestre 2'!B9,Tableau4[Coefficient]),2), "")</f>
        <v>13</v>
      </c>
      <c r="M10">
        <f t="shared" si="0"/>
        <v>19.5</v>
      </c>
      <c r="N10" s="41">
        <f t="shared" si="1"/>
        <v>21</v>
      </c>
      <c r="O10" s="41">
        <f t="shared" si="2"/>
        <v>1.5</v>
      </c>
    </row>
    <row r="11" spans="1:15" x14ac:dyDescent="0.3">
      <c r="A11" s="165"/>
      <c r="B11" s="3" t="s">
        <v>25</v>
      </c>
      <c r="C11" s="53">
        <v>0.5</v>
      </c>
      <c r="D11" s="56" t="str">
        <f>IFERROR(ROUND(SUMIF(Tableau4[Ressource],'Semestre 2'!B10,Tableau4[Colonne1])/SUMIF(Tableau4[Ressource],'Semestre 2'!B10,Tableau4[Coefficient]),2), "")</f>
        <v/>
      </c>
      <c r="E11" s="74" t="str">
        <f>IFERROR(ROUND(SUMIF(Tableau4[Ressource],'Semestre 2'!B10,Tableau4[Colonne2])/SUMIF(Tableau4[Ressource],'Semestre 2'!B10,Tableau4[Coefficient]),2), "")</f>
        <v/>
      </c>
      <c r="M11" t="str">
        <f t="shared" si="0"/>
        <v>0</v>
      </c>
      <c r="N11" s="41" t="str">
        <f t="shared" si="1"/>
        <v>0</v>
      </c>
      <c r="O11" s="41" t="str">
        <f t="shared" si="2"/>
        <v>0</v>
      </c>
    </row>
    <row r="12" spans="1:15" x14ac:dyDescent="0.3">
      <c r="A12" s="5"/>
      <c r="B12" s="10"/>
      <c r="C12" s="18"/>
      <c r="D12" s="101"/>
      <c r="E12" s="100"/>
      <c r="N12" s="41"/>
      <c r="O12" s="41"/>
    </row>
    <row r="13" spans="1:15" x14ac:dyDescent="0.3">
      <c r="A13" s="7" t="s">
        <v>38</v>
      </c>
      <c r="B13" s="3" t="s">
        <v>18</v>
      </c>
      <c r="C13" s="53">
        <v>0.5</v>
      </c>
      <c r="D13" s="99" t="str">
        <f>IFERROR(ROUND(SUMIF(Tableau4[Ressource],'Semestre 2'!B12,Tableau4[Colonne1])/SUMIF(Tableau4[Ressource],'Semestre 2'!B12,Tableau4[Coefficient]),2), "")</f>
        <v/>
      </c>
      <c r="E13" s="93" t="str">
        <f>IFERROR(ROUND(SUMIF(Tableau4[Ressource],'Semestre 2'!B12,Tableau4[Colonne2])/SUMIF(Tableau4[Ressource],'Semestre 2'!B12,Tableau4[Coefficient]),2), "")</f>
        <v/>
      </c>
      <c r="M13" t="str">
        <f t="shared" ref="M13:M21" si="3">IFERROR(E13*C13,"0")</f>
        <v>0</v>
      </c>
      <c r="N13" s="41" t="str">
        <f t="shared" ref="N13:N21" si="4">IFERROR(C13*D13,"0")</f>
        <v>0</v>
      </c>
      <c r="O13" s="41" t="str">
        <f t="shared" ref="O13:O21" si="5">IF(D13&lt;&gt;"",C13,"0")</f>
        <v>0</v>
      </c>
    </row>
    <row r="14" spans="1:15" ht="28.8" x14ac:dyDescent="0.3">
      <c r="A14" s="8" t="s">
        <v>7</v>
      </c>
      <c r="B14" s="9" t="s">
        <v>26</v>
      </c>
      <c r="C14" s="19">
        <v>1</v>
      </c>
      <c r="D14" s="58">
        <f>IFERROR(ROUND(SUMIF(Tableau4[Ressource],'Semestre 2'!B13,Tableau4[Colonne1])/SUMIF(Tableau4[Ressource],'Semestre 2'!B13,Tableau4[Coefficient]),2), "")</f>
        <v>16</v>
      </c>
      <c r="E14" s="76">
        <f>IFERROR(ROUND(SUMIF(Tableau4[Ressource],'Semestre 2'!B13,Tableau4[Colonne2])/SUMIF(Tableau4[Ressource],'Semestre 2'!B13,Tableau4[Coefficient]),2), "")</f>
        <v>14</v>
      </c>
      <c r="M14">
        <f t="shared" si="3"/>
        <v>14</v>
      </c>
      <c r="N14" s="41">
        <f t="shared" si="4"/>
        <v>16</v>
      </c>
      <c r="O14" s="41">
        <f t="shared" si="5"/>
        <v>1</v>
      </c>
    </row>
    <row r="15" spans="1:15" x14ac:dyDescent="0.3">
      <c r="A15" s="166"/>
      <c r="B15" s="9" t="s">
        <v>27</v>
      </c>
      <c r="C15" s="19">
        <v>1.5</v>
      </c>
      <c r="D15" s="58">
        <f>IFERROR(ROUND(SUMIF(Tableau4[Ressource],'Semestre 2'!B14,Tableau4[Colonne1])/SUMIF(Tableau4[Ressource],'Semestre 2'!B14,Tableau4[Coefficient]),2), "")</f>
        <v>5.12</v>
      </c>
      <c r="E15" s="76">
        <f>IFERROR(ROUND(SUMIF(Tableau4[Ressource],'Semestre 2'!B14,Tableau4[Colonne2])/SUMIF(Tableau4[Ressource],'Semestre 2'!B14,Tableau4[Coefficient]),2), "")</f>
        <v>0.84</v>
      </c>
      <c r="M15">
        <f t="shared" si="3"/>
        <v>1.26</v>
      </c>
      <c r="N15" s="40">
        <f t="shared" si="4"/>
        <v>7.68</v>
      </c>
      <c r="O15" s="40">
        <f t="shared" si="5"/>
        <v>1.5</v>
      </c>
    </row>
    <row r="16" spans="1:15" x14ac:dyDescent="0.3">
      <c r="A16" s="166"/>
      <c r="B16" s="9" t="s">
        <v>28</v>
      </c>
      <c r="C16" s="19">
        <v>1.5</v>
      </c>
      <c r="D16" s="58">
        <f>IFERROR(ROUND(SUMIF(Tableau4[Ressource],'Semestre 2'!B15,Tableau4[Colonne1])/SUMIF(Tableau4[Ressource],'Semestre 2'!B15,Tableau4[Coefficient]),2), "")</f>
        <v>13</v>
      </c>
      <c r="E16" s="76">
        <f>IFERROR(ROUND(SUMIF(Tableau4[Ressource],'Semestre 2'!B15,Tableau4[Colonne2])/SUMIF(Tableau4[Ressource],'Semestre 2'!B15,Tableau4[Coefficient]),2), "")</f>
        <v>14</v>
      </c>
      <c r="M16">
        <f t="shared" si="3"/>
        <v>21</v>
      </c>
      <c r="N16" s="41">
        <f t="shared" si="4"/>
        <v>19.5</v>
      </c>
      <c r="O16" s="41">
        <f t="shared" si="5"/>
        <v>1.5</v>
      </c>
    </row>
    <row r="17" spans="1:19" x14ac:dyDescent="0.3">
      <c r="A17" s="166"/>
      <c r="B17" s="9" t="s">
        <v>29</v>
      </c>
      <c r="C17" s="19">
        <v>1</v>
      </c>
      <c r="D17" s="58" t="str">
        <f>IFERROR(ROUND(SUMIF(Tableau4[Ressource],'Semestre 2'!B16,Tableau4[Colonne1])/SUMIF(Tableau4[Ressource],'Semestre 2'!B16,Tableau4[Coefficient]),2), "")</f>
        <v/>
      </c>
      <c r="E17" s="76" t="str">
        <f>IFERROR(ROUND(SUMIF(Tableau4[Ressource],'Semestre 2'!B16,Tableau4[Colonne2])/SUMIF(Tableau4[Ressource],'Semestre 2'!B16,Tableau4[Coefficient]),2), "")</f>
        <v/>
      </c>
      <c r="M17" t="str">
        <f t="shared" si="3"/>
        <v>0</v>
      </c>
      <c r="N17" s="41" t="str">
        <f t="shared" si="4"/>
        <v>0</v>
      </c>
      <c r="O17" s="41" t="str">
        <f t="shared" si="5"/>
        <v>0</v>
      </c>
    </row>
    <row r="18" spans="1:19" x14ac:dyDescent="0.3">
      <c r="A18" s="166"/>
      <c r="B18" s="3" t="s">
        <v>23</v>
      </c>
      <c r="C18" s="53">
        <v>2</v>
      </c>
      <c r="D18" s="56">
        <f>IFERROR(ROUND(SUMIF(Tableau4[Ressource],'Semestre 2'!B17,Tableau4[Colonne1])/SUMIF(Tableau4[Ressource],'Semestre 2'!B17,Tableau4[Coefficient]),2), "")</f>
        <v>20</v>
      </c>
      <c r="E18" s="74">
        <f>IFERROR(ROUND(SUMIF(Tableau4[Ressource],'Semestre 2'!B17,Tableau4[Colonne2])/SUMIF(Tableau4[Ressource],'Semestre 2'!B17,Tableau4[Coefficient]),2), "")</f>
        <v>14</v>
      </c>
      <c r="M18">
        <f t="shared" si="3"/>
        <v>28</v>
      </c>
      <c r="N18" s="41">
        <f t="shared" si="4"/>
        <v>40</v>
      </c>
      <c r="O18" s="41">
        <f t="shared" si="5"/>
        <v>2</v>
      </c>
    </row>
    <row r="19" spans="1:19" x14ac:dyDescent="0.3">
      <c r="A19" s="166"/>
      <c r="B19" s="20" t="s">
        <v>30</v>
      </c>
      <c r="C19" s="19">
        <v>1</v>
      </c>
      <c r="D19" s="58">
        <f>IFERROR(ROUND(SUMIF(Tableau4[Ressource],'Semestre 2'!B18,Tableau4[Colonne1])/SUMIF(Tableau4[Ressource],'Semestre 2'!B18,Tableau4[Coefficient]),2), "")</f>
        <v>14</v>
      </c>
      <c r="E19" s="76">
        <f>IFERROR(ROUND(SUMIF(Tableau4[Ressource],'Semestre 2'!B18,Tableau4[Colonne2])/SUMIF(Tableau4[Ressource],'Semestre 2'!B18,Tableau4[Coefficient]),2), "")</f>
        <v>13</v>
      </c>
      <c r="M19">
        <f t="shared" si="3"/>
        <v>13</v>
      </c>
      <c r="N19" s="41">
        <f t="shared" si="4"/>
        <v>14</v>
      </c>
      <c r="O19" s="41">
        <f t="shared" si="5"/>
        <v>1</v>
      </c>
    </row>
    <row r="20" spans="1:19" x14ac:dyDescent="0.3">
      <c r="A20" s="166"/>
      <c r="B20" s="20" t="s">
        <v>31</v>
      </c>
      <c r="C20" s="19">
        <v>1</v>
      </c>
      <c r="D20" s="58">
        <f>IFERROR(ROUND(SUMIF(Tableau4[Ressource],'Semestre 2'!B19,Tableau4[Colonne1])/SUMIF(Tableau4[Ressource],'Semestre 2'!B19,Tableau4[Coefficient]),2), "")</f>
        <v>15</v>
      </c>
      <c r="E20" s="76">
        <f>IFERROR(ROUND(SUMIF(Tableau4[Ressource],'Semestre 2'!B19,Tableau4[Colonne2])/SUMIF(Tableau4[Ressource],'Semestre 2'!B19,Tableau4[Coefficient]),2), "")</f>
        <v>14</v>
      </c>
      <c r="M20">
        <f t="shared" si="3"/>
        <v>14</v>
      </c>
      <c r="N20" s="41">
        <f t="shared" si="4"/>
        <v>15</v>
      </c>
      <c r="O20" s="41">
        <f t="shared" si="5"/>
        <v>1</v>
      </c>
      <c r="R20" t="s">
        <v>57</v>
      </c>
      <c r="S20" t="s">
        <v>60</v>
      </c>
    </row>
    <row r="21" spans="1:19" x14ac:dyDescent="0.3">
      <c r="A21" s="167"/>
      <c r="B21" s="3" t="s">
        <v>25</v>
      </c>
      <c r="C21" s="53">
        <v>0.5</v>
      </c>
      <c r="D21" s="56" t="str">
        <f>IFERROR(ROUND(SUMIF(Tableau4[Ressource],'Semestre 2'!B20,Tableau4[Colonne1])/SUMIF(Tableau4[Ressource],'Semestre 2'!B20,Tableau4[Coefficient]),2), "")</f>
        <v/>
      </c>
      <c r="E21" s="74" t="str">
        <f>IFERROR(ROUND(SUMIF(Tableau4[Ressource],'Semestre 2'!B20,Tableau4[Colonne2])/SUMIF(Tableau4[Ressource],'Semestre 2'!B20,Tableau4[Coefficient]),2), "")</f>
        <v/>
      </c>
      <c r="M21" t="str">
        <f t="shared" si="3"/>
        <v>0</v>
      </c>
      <c r="N21" s="41" t="str">
        <f t="shared" si="4"/>
        <v>0</v>
      </c>
      <c r="O21" s="41" t="str">
        <f t="shared" si="5"/>
        <v>0</v>
      </c>
      <c r="R21" t="s">
        <v>58</v>
      </c>
      <c r="S21" t="e">
        <f>"Encore un petit effort, il faut que tu augmentes ta moyenne de "&amp;L37&amp;" points."</f>
        <v>#VALUE!</v>
      </c>
    </row>
    <row r="22" spans="1:19" x14ac:dyDescent="0.3">
      <c r="A22" s="5"/>
      <c r="B22" s="10"/>
      <c r="C22" s="18"/>
      <c r="D22" s="101"/>
      <c r="E22" s="100"/>
      <c r="N22" s="41"/>
      <c r="O22" s="41"/>
      <c r="R22" t="s">
        <v>59</v>
      </c>
      <c r="S22" t="e">
        <f>"Il faut continuer à travailler pour au moins atteindre 8 de moyenne. Attention, seulement dans un seul bloc. Vous devez augmenter votre moyenne de "&amp;L37&amp;"."</f>
        <v>#VALUE!</v>
      </c>
    </row>
    <row r="23" spans="1:19" x14ac:dyDescent="0.3">
      <c r="A23" s="11" t="s">
        <v>37</v>
      </c>
      <c r="B23" s="13" t="s">
        <v>18</v>
      </c>
      <c r="C23" s="55">
        <v>0.5</v>
      </c>
      <c r="D23" s="99" t="str">
        <f>IFERROR(ROUND(SUMIF(Tableau4[Ressource],'Semestre 2'!B22,Tableau4[Colonne1])/SUMIF(Tableau4[Ressource],'Semestre 2'!B22,Tableau4[Coefficient]),2), "")</f>
        <v/>
      </c>
      <c r="E23" s="93" t="str">
        <f>IFERROR(ROUND(SUMIF(Tableau4[Ressource],'Semestre 2'!B22,Tableau4[Colonne2])/SUMIF(Tableau4[Ressource],'Semestre 2'!B22,Tableau4[Coefficient]),2), "")</f>
        <v/>
      </c>
      <c r="M23" t="str">
        <f t="shared" ref="M23:M30" si="6">IFERROR(E23*C23,"0")</f>
        <v>0</v>
      </c>
      <c r="N23" s="41" t="str">
        <f t="shared" ref="N23:N30" si="7">IFERROR(C23*D23,"0")</f>
        <v>0</v>
      </c>
      <c r="O23" s="41" t="str">
        <f t="shared" ref="O23:O30" si="8">IF(D23&lt;&gt;"",C23,"0")</f>
        <v>0</v>
      </c>
    </row>
    <row r="24" spans="1:19" ht="28.8" x14ac:dyDescent="0.3">
      <c r="A24" s="12" t="s">
        <v>12</v>
      </c>
      <c r="B24" s="14" t="s">
        <v>32</v>
      </c>
      <c r="C24" s="22">
        <v>1.5</v>
      </c>
      <c r="D24" s="59">
        <f>IFERROR(ROUND(SUMIF(Tableau4[Ressource],'Semestre 2'!B23,Tableau4[Colonne1])/SUMIF(Tableau4[Ressource],'Semestre 2'!B23,Tableau4[Coefficient]),2), "")</f>
        <v>16</v>
      </c>
      <c r="E24" s="25">
        <f>IFERROR(ROUND(SUMIF(Tableau4[Ressource],'Semestre 2'!B23,Tableau4[Colonne2])/SUMIF(Tableau4[Ressource],'Semestre 2'!B23,Tableau4[Coefficient]),2), "")</f>
        <v>14</v>
      </c>
      <c r="M24">
        <f t="shared" si="6"/>
        <v>21</v>
      </c>
      <c r="N24" s="41">
        <f t="shared" si="7"/>
        <v>24</v>
      </c>
      <c r="O24" s="41">
        <f t="shared" si="8"/>
        <v>1.5</v>
      </c>
      <c r="R24" t="s">
        <v>57</v>
      </c>
      <c r="S24" t="s">
        <v>60</v>
      </c>
    </row>
    <row r="25" spans="1:19" x14ac:dyDescent="0.3">
      <c r="A25" s="168"/>
      <c r="B25" s="14" t="s">
        <v>33</v>
      </c>
      <c r="C25" s="22">
        <v>1.5</v>
      </c>
      <c r="D25" s="59">
        <f>IFERROR(ROUND(SUMIF(Tableau4[Ressource],'Semestre 2'!B24,Tableau4[Colonne1])/SUMIF(Tableau4[Ressource],'Semestre 2'!B24,Tableau4[Coefficient]),2), "")</f>
        <v>2.8</v>
      </c>
      <c r="E25" s="25">
        <f>IFERROR(ROUND(SUMIF(Tableau4[Ressource],'Semestre 2'!B24,Tableau4[Colonne2])/SUMIF(Tableau4[Ressource],'Semestre 2'!B24,Tableau4[Coefficient]),2), "")</f>
        <v>12.8</v>
      </c>
      <c r="M25">
        <f t="shared" si="6"/>
        <v>19.200000000000003</v>
      </c>
      <c r="N25" s="41">
        <f t="shared" si="7"/>
        <v>4.1999999999999993</v>
      </c>
      <c r="O25" s="41">
        <f t="shared" si="8"/>
        <v>1.5</v>
      </c>
      <c r="R25" t="s">
        <v>58</v>
      </c>
      <c r="S25" t="e">
        <f>"Encore un petit effort, il faut que tu augmentes ta moyenne de "&amp;L44&amp;" points."</f>
        <v>#VALUE!</v>
      </c>
    </row>
    <row r="26" spans="1:19" ht="28.8" x14ac:dyDescent="0.3">
      <c r="A26" s="168"/>
      <c r="B26" s="15" t="s">
        <v>34</v>
      </c>
      <c r="C26" s="21">
        <v>2</v>
      </c>
      <c r="D26" s="59">
        <f>IFERROR(ROUND(SUMIF(Tableau4[Ressource],'Semestre 2'!B25,Tableau4[Colonne1])/SUMIF(Tableau4[Ressource],'Semestre 2'!B25,Tableau4[Coefficient]),2), "")</f>
        <v>3</v>
      </c>
      <c r="E26" s="25">
        <f>IFERROR(ROUND(SUMIF(Tableau4[Ressource],'Semestre 2'!B25,Tableau4[Colonne2])/SUMIF(Tableau4[Ressource],'Semestre 2'!B25,Tableau4[Coefficient]),2), "")</f>
        <v>0</v>
      </c>
      <c r="M26">
        <f t="shared" si="6"/>
        <v>0</v>
      </c>
      <c r="N26" s="41">
        <f t="shared" si="7"/>
        <v>6</v>
      </c>
      <c r="O26" s="41">
        <f t="shared" si="8"/>
        <v>2</v>
      </c>
      <c r="R26" t="s">
        <v>59</v>
      </c>
      <c r="S26" t="e">
        <f>"Il faut continuer à travailler pour au moins atteindre 8 de moyenne. Attention, seulement dans un seul bloc. Vous devez augmenter votre moyenne de "&amp;L44&amp;"."</f>
        <v>#VALUE!</v>
      </c>
    </row>
    <row r="27" spans="1:19" x14ac:dyDescent="0.3">
      <c r="A27" s="168"/>
      <c r="B27" s="13" t="s">
        <v>23</v>
      </c>
      <c r="C27" s="55">
        <v>2</v>
      </c>
      <c r="D27" s="56" t="str">
        <f>IFERROR(ROUND(SUMIF(Tableau4[Ressource],'Semestre 2'!B26,Tableau4[Colonne1])/SUMIF(Tableau4[Ressource],'Semestre 2'!B26,Tableau4[Coefficient]),2), "")</f>
        <v/>
      </c>
      <c r="E27" s="74" t="str">
        <f>IFERROR(ROUND(SUMIF(Tableau4[Ressource],'Semestre 2'!B26,Tableau4[Colonne2])/SUMIF(Tableau4[Ressource],'Semestre 2'!B26,Tableau4[Coefficient]),2), "")</f>
        <v/>
      </c>
      <c r="M27" t="str">
        <f t="shared" si="6"/>
        <v>0</v>
      </c>
      <c r="N27" s="41" t="str">
        <f t="shared" si="7"/>
        <v>0</v>
      </c>
      <c r="O27" s="41" t="str">
        <f t="shared" si="8"/>
        <v>0</v>
      </c>
    </row>
    <row r="28" spans="1:19" x14ac:dyDescent="0.3">
      <c r="A28" s="168"/>
      <c r="B28" s="15" t="s">
        <v>35</v>
      </c>
      <c r="C28" s="21">
        <v>1</v>
      </c>
      <c r="D28" s="59">
        <f>IFERROR(ROUND(SUMIF(Tableau4[Ressource],'Semestre 2'!B27,Tableau4[Colonne1])/SUMIF(Tableau4[Ressource],'Semestre 2'!B27,Tableau4[Coefficient]),2), "")</f>
        <v>14</v>
      </c>
      <c r="E28" s="25">
        <f>IFERROR(ROUND(SUMIF(Tableau4[Ressource],'Semestre 2'!B27,Tableau4[Colonne2])/SUMIF(Tableau4[Ressource],'Semestre 2'!B27,Tableau4[Coefficient]),2), "")</f>
        <v>13</v>
      </c>
      <c r="M28">
        <f t="shared" si="6"/>
        <v>13</v>
      </c>
      <c r="N28" s="41">
        <f t="shared" si="7"/>
        <v>14</v>
      </c>
      <c r="O28" s="41">
        <f t="shared" si="8"/>
        <v>1</v>
      </c>
      <c r="R28" t="s">
        <v>57</v>
      </c>
      <c r="S28" t="s">
        <v>60</v>
      </c>
    </row>
    <row r="29" spans="1:19" x14ac:dyDescent="0.3">
      <c r="A29" s="168"/>
      <c r="B29" s="15" t="s">
        <v>36</v>
      </c>
      <c r="C29" s="21">
        <v>1</v>
      </c>
      <c r="D29" s="59">
        <f>IFERROR(ROUND(SUMIF(Tableau4[Ressource],'Semestre 2'!B28,Tableau4[Colonne1])/SUMIF(Tableau4[Ressource],'Semestre 2'!B28,Tableau4[Coefficient]),2), "")</f>
        <v>4</v>
      </c>
      <c r="E29" s="25">
        <f>IFERROR(ROUND(SUMIF(Tableau4[Ressource],'Semestre 2'!B28,Tableau4[Colonne2])/SUMIF(Tableau4[Ressource],'Semestre 2'!B28,Tableau4[Coefficient]),2), "")</f>
        <v>17</v>
      </c>
      <c r="M29">
        <f t="shared" si="6"/>
        <v>17</v>
      </c>
      <c r="N29" s="41">
        <f t="shared" si="7"/>
        <v>4</v>
      </c>
      <c r="O29" s="41">
        <f t="shared" si="8"/>
        <v>1</v>
      </c>
      <c r="R29" t="s">
        <v>58</v>
      </c>
      <c r="S29" t="str">
        <f>"Encore un petit effort, il faut que tu augmentes ta moyenne de "&amp;L51&amp;" points."</f>
        <v>Encore un petit effort, il faut que tu augmentes ta moyenne de 0,54 points.</v>
      </c>
    </row>
    <row r="30" spans="1:19" x14ac:dyDescent="0.3">
      <c r="A30" s="169"/>
      <c r="B30" s="13" t="s">
        <v>25</v>
      </c>
      <c r="C30" s="55">
        <v>0.5</v>
      </c>
      <c r="D30" s="56" t="str">
        <f>IFERROR(ROUND(SUMIF(Tableau4[Ressource],'Semestre 2'!B29,Tableau4[Colonne1])/SUMIF(Tableau4[Ressource],'Semestre 2'!B29,Tableau4[Coefficient]),2), "")</f>
        <v/>
      </c>
      <c r="E30" s="74" t="str">
        <f>IFERROR(ROUND(SUMIF(Tableau4[Ressource],'Semestre 2'!B29,Tableau4[Colonne2])/SUMIF(Tableau4[Ressource],'Semestre 2'!B29,Tableau4[Coefficient]),2), "")</f>
        <v/>
      </c>
      <c r="M30" t="str">
        <f t="shared" si="6"/>
        <v>0</v>
      </c>
      <c r="N30" s="41" t="str">
        <f t="shared" si="7"/>
        <v>0</v>
      </c>
      <c r="O30" s="41" t="str">
        <f t="shared" si="8"/>
        <v>0</v>
      </c>
      <c r="R30" t="s">
        <v>59</v>
      </c>
      <c r="S30" t="str">
        <f>"Il faut continuer à travailler pour au moins atteindre 8 de moyenne. Attention, seulement dans un seul bloc. Vous devez augmenter votre moyenne de "&amp;L51&amp;"."</f>
        <v>Il faut continuer à travailler pour au moins atteindre 8 de moyenne. Attention, seulement dans un seul bloc. Vous devez augmenter votre moyenne de 0,54.</v>
      </c>
    </row>
    <row r="34" spans="1:17" ht="18" x14ac:dyDescent="0.35">
      <c r="A34" s="30" t="s">
        <v>49</v>
      </c>
      <c r="B34" s="106" t="s">
        <v>53</v>
      </c>
      <c r="C34" s="42" t="s">
        <v>66</v>
      </c>
      <c r="D34" s="114" t="s">
        <v>61</v>
      </c>
      <c r="E34" s="194" t="s">
        <v>56</v>
      </c>
      <c r="F34" s="195"/>
      <c r="G34" s="195"/>
      <c r="H34" s="195"/>
      <c r="I34" s="195"/>
      <c r="J34" s="195"/>
      <c r="K34" s="196"/>
    </row>
    <row r="35" spans="1:17" ht="15" customHeight="1" x14ac:dyDescent="0.3">
      <c r="A35" s="88" t="s">
        <v>39</v>
      </c>
      <c r="B35" s="170">
        <f>ROUND((SUM(N4:N11)/SUM(O4:O11)),2)</f>
        <v>16</v>
      </c>
      <c r="C35" s="145">
        <f>Q39</f>
        <v>0</v>
      </c>
      <c r="D35" s="170">
        <f>ROUND((SUM(M4:M11)/SUM(O4:O11)),2)</f>
        <v>13.09</v>
      </c>
      <c r="E35" s="185" t="str">
        <f>IF(B35&lt;8,S22,IF(B35&gt;10,S20,S21))</f>
        <v>Bravo continue comme ça, tu as atteint la moyenne !</v>
      </c>
      <c r="F35" s="186"/>
      <c r="G35" s="186"/>
      <c r="H35" s="186"/>
      <c r="I35" s="186"/>
      <c r="J35" s="186"/>
      <c r="K35" s="187"/>
    </row>
    <row r="36" spans="1:17" ht="15" customHeight="1" x14ac:dyDescent="0.3">
      <c r="A36" s="173" t="s">
        <v>0</v>
      </c>
      <c r="B36" s="171"/>
      <c r="C36" s="146"/>
      <c r="D36" s="171"/>
      <c r="E36" s="188"/>
      <c r="F36" s="189"/>
      <c r="G36" s="189"/>
      <c r="H36" s="189"/>
      <c r="I36" s="189"/>
      <c r="J36" s="189"/>
      <c r="K36" s="190"/>
    </row>
    <row r="37" spans="1:17" ht="15" customHeight="1" x14ac:dyDescent="0.3">
      <c r="A37" s="173"/>
      <c r="B37" s="171"/>
      <c r="C37" s="146"/>
      <c r="D37" s="171"/>
      <c r="E37" s="188"/>
      <c r="F37" s="189"/>
      <c r="G37" s="189"/>
      <c r="H37" s="189"/>
      <c r="I37" s="189"/>
      <c r="J37" s="189"/>
      <c r="K37" s="190"/>
      <c r="L37" t="e">
        <f>ROUND(IF(B35&lt;8,8-B35,IF(B35&gt;10,"",10-B35)),2)</f>
        <v>#VALUE!</v>
      </c>
    </row>
    <row r="38" spans="1:17" ht="15" customHeight="1" x14ac:dyDescent="0.3">
      <c r="A38" s="173"/>
      <c r="B38" s="171"/>
      <c r="C38" s="146"/>
      <c r="D38" s="171"/>
      <c r="E38" s="188"/>
      <c r="F38" s="189"/>
      <c r="G38" s="189"/>
      <c r="H38" s="189"/>
      <c r="I38" s="189"/>
      <c r="J38" s="189"/>
      <c r="K38" s="190"/>
      <c r="Q38">
        <f>SIGN(B35-'Semestre 1'!B27)</f>
        <v>-1</v>
      </c>
    </row>
    <row r="39" spans="1:17" ht="15" customHeight="1" x14ac:dyDescent="0.3">
      <c r="A39" s="173"/>
      <c r="B39" s="171"/>
      <c r="C39" s="146"/>
      <c r="D39" s="171"/>
      <c r="E39" s="188"/>
      <c r="F39" s="189"/>
      <c r="G39" s="189"/>
      <c r="H39" s="189"/>
      <c r="I39" s="189"/>
      <c r="J39" s="189"/>
      <c r="K39" s="190"/>
    </row>
    <row r="40" spans="1:17" ht="15" customHeight="1" x14ac:dyDescent="0.3">
      <c r="A40" s="174"/>
      <c r="B40" s="172"/>
      <c r="C40" s="147"/>
      <c r="D40" s="172"/>
      <c r="E40" s="191"/>
      <c r="F40" s="192"/>
      <c r="G40" s="192"/>
      <c r="H40" s="192"/>
      <c r="I40" s="192"/>
      <c r="J40" s="192"/>
      <c r="K40" s="193"/>
    </row>
    <row r="41" spans="1:17" ht="23.4" x14ac:dyDescent="0.45">
      <c r="A41" s="89"/>
      <c r="D41" s="87"/>
    </row>
    <row r="42" spans="1:17" ht="18.75" customHeight="1" x14ac:dyDescent="0.3">
      <c r="A42" s="90" t="s">
        <v>38</v>
      </c>
      <c r="B42" s="170">
        <f>ROUND((SUM(N13:N21)/SUM(O13:O21)),2)</f>
        <v>14.02</v>
      </c>
      <c r="C42" s="145">
        <f>Q43</f>
        <v>1</v>
      </c>
      <c r="D42" s="170">
        <f>ROUND((SUM(M13:M21)/SUM(O13:O21)),2)</f>
        <v>11.41</v>
      </c>
      <c r="E42" s="185" t="str">
        <f>IF(B42&lt;8,S26,IF(B42&gt;10,S24,S25))</f>
        <v>Bravo continue comme ça, tu as atteint la moyenne !</v>
      </c>
      <c r="F42" s="186"/>
      <c r="G42" s="186"/>
      <c r="H42" s="186"/>
      <c r="I42" s="186"/>
      <c r="J42" s="186"/>
      <c r="K42" s="187"/>
    </row>
    <row r="43" spans="1:17" ht="18.75" customHeight="1" x14ac:dyDescent="0.3">
      <c r="A43" s="177" t="s">
        <v>7</v>
      </c>
      <c r="B43" s="171"/>
      <c r="C43" s="146"/>
      <c r="D43" s="171"/>
      <c r="E43" s="188"/>
      <c r="F43" s="189"/>
      <c r="G43" s="189"/>
      <c r="H43" s="189"/>
      <c r="I43" s="189"/>
      <c r="J43" s="189"/>
      <c r="K43" s="190"/>
      <c r="Q43">
        <f>SIGN(B42-'Semestre 1'!B34)</f>
        <v>1</v>
      </c>
    </row>
    <row r="44" spans="1:17" ht="18.75" customHeight="1" x14ac:dyDescent="0.3">
      <c r="A44" s="177"/>
      <c r="B44" s="171"/>
      <c r="C44" s="146"/>
      <c r="D44" s="171"/>
      <c r="E44" s="188"/>
      <c r="F44" s="189"/>
      <c r="G44" s="189"/>
      <c r="H44" s="189"/>
      <c r="I44" s="189"/>
      <c r="J44" s="189"/>
      <c r="K44" s="190"/>
      <c r="L44" s="61" t="e">
        <f>ROUND(IF(B42&lt;8,8-B42,IF(B42&gt;10,"",10-B42)),2)</f>
        <v>#VALUE!</v>
      </c>
    </row>
    <row r="45" spans="1:17" ht="18.75" customHeight="1" x14ac:dyDescent="0.3">
      <c r="A45" s="177"/>
      <c r="B45" s="171"/>
      <c r="C45" s="146"/>
      <c r="D45" s="171"/>
      <c r="E45" s="188"/>
      <c r="F45" s="189"/>
      <c r="G45" s="189"/>
      <c r="H45" s="189"/>
      <c r="I45" s="189"/>
      <c r="J45" s="189"/>
      <c r="K45" s="190"/>
    </row>
    <row r="46" spans="1:17" ht="18.75" customHeight="1" x14ac:dyDescent="0.3">
      <c r="A46" s="177"/>
      <c r="B46" s="171"/>
      <c r="C46" s="146"/>
      <c r="D46" s="171"/>
      <c r="E46" s="188"/>
      <c r="F46" s="189"/>
      <c r="G46" s="189"/>
      <c r="H46" s="189"/>
      <c r="I46" s="189"/>
      <c r="J46" s="189"/>
      <c r="K46" s="190"/>
    </row>
    <row r="47" spans="1:17" ht="18.75" customHeight="1" x14ac:dyDescent="0.3">
      <c r="A47" s="178"/>
      <c r="B47" s="172"/>
      <c r="C47" s="147"/>
      <c r="D47" s="172"/>
      <c r="E47" s="191"/>
      <c r="F47" s="192"/>
      <c r="G47" s="192"/>
      <c r="H47" s="192"/>
      <c r="I47" s="192"/>
      <c r="J47" s="192"/>
      <c r="K47" s="193"/>
    </row>
    <row r="48" spans="1:17" ht="23.4" x14ac:dyDescent="0.45">
      <c r="A48" s="89"/>
      <c r="D48" s="87"/>
    </row>
    <row r="49" spans="1:17" ht="18.75" customHeight="1" x14ac:dyDescent="0.3">
      <c r="A49" s="91" t="s">
        <v>37</v>
      </c>
      <c r="B49" s="179">
        <f>ROUND((SUM(N23:N30)/SUM(O23:O30)),2)</f>
        <v>7.46</v>
      </c>
      <c r="C49" s="197">
        <f>Q50</f>
        <v>-1</v>
      </c>
      <c r="D49" s="170">
        <f>ROUND((SUM(M23:M30)/SUM(O23:O30)),2)</f>
        <v>10.029999999999999</v>
      </c>
      <c r="E49" s="185" t="str">
        <f>IF(B49&lt;8,S30,IF(B49&gt;10,S28,S29))</f>
        <v>Il faut continuer à travailler pour au moins atteindre 8 de moyenne. Attention, seulement dans un seul bloc. Vous devez augmenter votre moyenne de 0,54.</v>
      </c>
      <c r="F49" s="186"/>
      <c r="G49" s="186"/>
      <c r="H49" s="186"/>
      <c r="I49" s="186"/>
      <c r="J49" s="186"/>
      <c r="K49" s="187"/>
    </row>
    <row r="50" spans="1:17" ht="18.75" customHeight="1" x14ac:dyDescent="0.3">
      <c r="A50" s="182" t="s">
        <v>12</v>
      </c>
      <c r="B50" s="180"/>
      <c r="C50" s="198"/>
      <c r="D50" s="171"/>
      <c r="E50" s="188"/>
      <c r="F50" s="189"/>
      <c r="G50" s="189"/>
      <c r="H50" s="189"/>
      <c r="I50" s="189"/>
      <c r="J50" s="189"/>
      <c r="K50" s="190"/>
      <c r="Q50">
        <f>SIGN(B49-'Semestre 1'!B41)</f>
        <v>-1</v>
      </c>
    </row>
    <row r="51" spans="1:17" ht="18.75" customHeight="1" x14ac:dyDescent="0.3">
      <c r="A51" s="182"/>
      <c r="B51" s="180"/>
      <c r="C51" s="198"/>
      <c r="D51" s="171"/>
      <c r="E51" s="188"/>
      <c r="F51" s="189"/>
      <c r="G51" s="189"/>
      <c r="H51" s="189"/>
      <c r="I51" s="189"/>
      <c r="J51" s="189"/>
      <c r="K51" s="190"/>
      <c r="L51" s="77">
        <f>ROUND(IF(B49&lt;8,8-B49,IF(B49&gt;10,"",10-B49)),2)</f>
        <v>0.54</v>
      </c>
    </row>
    <row r="52" spans="1:17" ht="18.75" customHeight="1" x14ac:dyDescent="0.3">
      <c r="A52" s="182"/>
      <c r="B52" s="180"/>
      <c r="C52" s="198"/>
      <c r="D52" s="171"/>
      <c r="E52" s="188"/>
      <c r="F52" s="189"/>
      <c r="G52" s="189"/>
      <c r="H52" s="189"/>
      <c r="I52" s="189"/>
      <c r="J52" s="189"/>
      <c r="K52" s="190"/>
    </row>
    <row r="53" spans="1:17" ht="18.75" customHeight="1" x14ac:dyDescent="0.3">
      <c r="A53" s="182"/>
      <c r="B53" s="180"/>
      <c r="C53" s="198"/>
      <c r="D53" s="171"/>
      <c r="E53" s="188"/>
      <c r="F53" s="189"/>
      <c r="G53" s="189"/>
      <c r="H53" s="189"/>
      <c r="I53" s="189"/>
      <c r="J53" s="189"/>
      <c r="K53" s="190"/>
    </row>
    <row r="54" spans="1:17" ht="18.75" customHeight="1" x14ac:dyDescent="0.3">
      <c r="A54" s="183"/>
      <c r="B54" s="181"/>
      <c r="C54" s="199"/>
      <c r="D54" s="172"/>
      <c r="E54" s="191"/>
      <c r="F54" s="192"/>
      <c r="G54" s="192"/>
      <c r="H54" s="192"/>
      <c r="I54" s="192"/>
      <c r="J54" s="192"/>
      <c r="K54" s="193"/>
    </row>
    <row r="55" spans="1:17" ht="15" thickBot="1" x14ac:dyDescent="0.35"/>
    <row r="56" spans="1:17" ht="18.75" customHeight="1" x14ac:dyDescent="0.3">
      <c r="A56" s="126" t="s">
        <v>55</v>
      </c>
      <c r="B56" s="175">
        <f>SUM(B35:B54)/3</f>
        <v>12.493333333333332</v>
      </c>
      <c r="C56" s="162">
        <f>Q56</f>
        <v>1</v>
      </c>
      <c r="D56" s="160">
        <f>(D35+D42+D49)/3</f>
        <v>11.51</v>
      </c>
      <c r="Q56">
        <f>SIGN(B56-'Semestre 1'!B48)</f>
        <v>1</v>
      </c>
    </row>
    <row r="57" spans="1:17" ht="19.5" customHeight="1" thickBot="1" x14ac:dyDescent="0.35">
      <c r="A57" s="127"/>
      <c r="B57" s="176"/>
      <c r="C57" s="163"/>
      <c r="D57" s="161"/>
    </row>
  </sheetData>
  <sheetProtection sheet="1" objects="1" scenarios="1"/>
  <mergeCells count="24">
    <mergeCell ref="A1:K1"/>
    <mergeCell ref="E35:K40"/>
    <mergeCell ref="E34:K34"/>
    <mergeCell ref="E42:K47"/>
    <mergeCell ref="E49:K54"/>
    <mergeCell ref="C35:C40"/>
    <mergeCell ref="C42:C47"/>
    <mergeCell ref="C49:C54"/>
    <mergeCell ref="D42:D47"/>
    <mergeCell ref="D49:D54"/>
    <mergeCell ref="D56:D57"/>
    <mergeCell ref="C56:C57"/>
    <mergeCell ref="A6:A11"/>
    <mergeCell ref="A15:A21"/>
    <mergeCell ref="A25:A30"/>
    <mergeCell ref="B35:B40"/>
    <mergeCell ref="A36:A40"/>
    <mergeCell ref="D35:D40"/>
    <mergeCell ref="A56:A57"/>
    <mergeCell ref="B56:B57"/>
    <mergeCell ref="B42:B47"/>
    <mergeCell ref="A43:A47"/>
    <mergeCell ref="B49:B54"/>
    <mergeCell ref="A50:A54"/>
  </mergeCells>
  <conditionalFormatting sqref="B35:C35 B41:C42 B36:B40 B48:C49 B43:B47 B50:B54">
    <cfRule type="cellIs" dxfId="19" priority="9" operator="between">
      <formula>8</formula>
      <formula>10</formula>
    </cfRule>
    <cfRule type="cellIs" dxfId="18" priority="10" operator="greaterThan">
      <formula>10</formula>
    </cfRule>
    <cfRule type="cellIs" dxfId="17" priority="11" operator="lessThan">
      <formula>8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74830C64-885F-46D3-99C5-B6BAE456CDDC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</x14:iconSet>
          </x14:cfRule>
          <xm:sqref>C35:C57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193DE-9764-4BC0-8260-9194D0B39ECB}">
  <sheetPr codeName="Feuil5"/>
  <dimension ref="A1:H24"/>
  <sheetViews>
    <sheetView zoomScale="70" zoomScaleNormal="70" workbookViewId="0">
      <selection activeCell="B27" sqref="B27"/>
    </sheetView>
  </sheetViews>
  <sheetFormatPr baseColWidth="10" defaultRowHeight="14.4" x14ac:dyDescent="0.3"/>
  <cols>
    <col min="2" max="2" width="54.77734375" bestFit="1" customWidth="1"/>
    <col min="3" max="3" width="52" bestFit="1" customWidth="1"/>
    <col min="5" max="5" width="12.5546875" bestFit="1" customWidth="1"/>
    <col min="6" max="6" width="0" hidden="1" customWidth="1"/>
    <col min="7" max="7" width="19.44140625" bestFit="1" customWidth="1"/>
    <col min="8" max="8" width="0" hidden="1" customWidth="1"/>
  </cols>
  <sheetData>
    <row r="1" spans="1:8" ht="32.25" customHeight="1" x14ac:dyDescent="0.3">
      <c r="A1" s="159" t="s">
        <v>70</v>
      </c>
      <c r="B1" s="159"/>
      <c r="C1" s="200"/>
      <c r="D1" s="159"/>
      <c r="E1" s="159"/>
      <c r="F1" s="159"/>
      <c r="G1" s="159"/>
      <c r="H1" s="159"/>
    </row>
    <row r="2" spans="1:8" x14ac:dyDescent="0.3">
      <c r="A2" s="116"/>
      <c r="B2" s="116"/>
      <c r="C2" s="116"/>
      <c r="D2" s="116"/>
      <c r="E2" s="116"/>
      <c r="F2" s="116"/>
      <c r="G2" s="116"/>
      <c r="H2" s="116"/>
    </row>
    <row r="3" spans="1:8" ht="15.6" x14ac:dyDescent="0.3">
      <c r="A3" s="116"/>
      <c r="B3" s="117" t="s">
        <v>40</v>
      </c>
      <c r="C3" s="115"/>
      <c r="D3" s="116"/>
      <c r="E3" s="116"/>
      <c r="F3" s="116"/>
      <c r="G3" s="116"/>
      <c r="H3" s="116"/>
    </row>
    <row r="4" spans="1:8" x14ac:dyDescent="0.3">
      <c r="A4" s="116"/>
      <c r="B4" s="116"/>
      <c r="C4" s="116"/>
      <c r="D4" s="116"/>
      <c r="E4" s="116"/>
      <c r="F4" s="116"/>
      <c r="G4" s="116"/>
      <c r="H4" s="116"/>
    </row>
    <row r="5" spans="1:8" ht="15.6" x14ac:dyDescent="0.3">
      <c r="A5" s="116"/>
      <c r="B5" s="117" t="s">
        <v>41</v>
      </c>
      <c r="C5" s="115"/>
      <c r="D5" s="116"/>
      <c r="E5" s="116"/>
      <c r="F5" s="116"/>
      <c r="G5" s="116"/>
      <c r="H5" s="116"/>
    </row>
    <row r="6" spans="1:8" x14ac:dyDescent="0.3">
      <c r="A6" s="116"/>
      <c r="B6" s="116"/>
      <c r="C6" s="116"/>
      <c r="D6" s="116"/>
      <c r="E6" s="116"/>
      <c r="F6" s="116"/>
      <c r="G6" s="116"/>
      <c r="H6" s="116"/>
    </row>
    <row r="7" spans="1:8" x14ac:dyDescent="0.3">
      <c r="A7" s="116"/>
      <c r="B7" s="116"/>
      <c r="C7" s="116"/>
      <c r="D7" s="116"/>
      <c r="E7" s="116"/>
      <c r="F7" s="116"/>
      <c r="G7" s="116"/>
      <c r="H7" s="116"/>
    </row>
    <row r="8" spans="1:8" x14ac:dyDescent="0.3">
      <c r="A8" s="116"/>
      <c r="B8" s="116"/>
      <c r="C8" s="116"/>
      <c r="D8" s="116"/>
      <c r="E8" s="116"/>
      <c r="F8" s="116"/>
      <c r="G8" s="116"/>
      <c r="H8" s="116"/>
    </row>
    <row r="9" spans="1:8" ht="15" thickBot="1" x14ac:dyDescent="0.35">
      <c r="A9" s="116"/>
      <c r="B9" s="116"/>
      <c r="C9" s="116"/>
      <c r="D9" s="116"/>
      <c r="E9" s="116"/>
      <c r="F9" s="116"/>
      <c r="G9" s="116"/>
      <c r="H9" s="116"/>
    </row>
    <row r="10" spans="1:8" ht="15" thickBot="1" x14ac:dyDescent="0.35">
      <c r="A10" s="83" t="s">
        <v>63</v>
      </c>
      <c r="B10" s="26" t="s">
        <v>49</v>
      </c>
      <c r="C10" s="26" t="s">
        <v>50</v>
      </c>
      <c r="D10" s="26" t="s">
        <v>48</v>
      </c>
      <c r="E10" s="26" t="s">
        <v>51</v>
      </c>
      <c r="F10" s="26" t="s">
        <v>54</v>
      </c>
      <c r="G10" s="26" t="s">
        <v>61</v>
      </c>
      <c r="H10" s="26" t="s">
        <v>62</v>
      </c>
    </row>
    <row r="11" spans="1:8" x14ac:dyDescent="0.3">
      <c r="A11" s="84">
        <v>1</v>
      </c>
      <c r="B11" t="s">
        <v>47</v>
      </c>
      <c r="C11" t="s">
        <v>21</v>
      </c>
      <c r="D11">
        <v>10</v>
      </c>
      <c r="E11">
        <v>2</v>
      </c>
      <c r="F11">
        <f>ROUND((Tableau4[[#This Row],[note]]*Tableau4[[#This Row],[Coefficient]]),2)</f>
        <v>20</v>
      </c>
      <c r="G11">
        <v>9</v>
      </c>
      <c r="H11">
        <f>ROUND((Tableau4[[#This Row],[moyenne de classe]]*Tableau4[[#This Row],[Coefficient]]),2)</f>
        <v>18</v>
      </c>
    </row>
    <row r="12" spans="1:8" x14ac:dyDescent="0.3">
      <c r="A12" s="79">
        <f>A11+1</f>
        <v>2</v>
      </c>
      <c r="B12" t="s">
        <v>46</v>
      </c>
      <c r="C12" t="s">
        <v>33</v>
      </c>
      <c r="D12">
        <v>3</v>
      </c>
      <c r="E12">
        <v>4</v>
      </c>
      <c r="F12">
        <f>ROUND((Tableau4[[#This Row],[note]]*Tableau4[[#This Row],[Coefficient]]),2)</f>
        <v>12</v>
      </c>
      <c r="H12">
        <f>ROUND((Tableau4[[#This Row],[moyenne de classe]]*Tableau4[[#This Row],[Coefficient]]),2)</f>
        <v>0</v>
      </c>
    </row>
    <row r="13" spans="1:8" x14ac:dyDescent="0.3">
      <c r="A13" s="79">
        <f t="shared" ref="A13:A18" si="0">A12+1</f>
        <v>3</v>
      </c>
      <c r="B13" t="s">
        <v>44</v>
      </c>
      <c r="C13" t="s">
        <v>26</v>
      </c>
      <c r="D13" s="29">
        <v>6.6700000762939453</v>
      </c>
      <c r="E13" s="29">
        <v>0.15000000596046401</v>
      </c>
      <c r="F13">
        <f>ROUND((Tableau4[[#This Row],[note]]*Tableau4[[#This Row],[Coefficient]]),2)</f>
        <v>1</v>
      </c>
      <c r="G13">
        <v>12</v>
      </c>
      <c r="H13">
        <f>ROUND((Tableau4[[#This Row],[moyenne de classe]]*Tableau4[[#This Row],[Coefficient]]),2)</f>
        <v>1.8</v>
      </c>
    </row>
    <row r="14" spans="1:8" x14ac:dyDescent="0.3">
      <c r="A14" s="79">
        <f t="shared" si="0"/>
        <v>4</v>
      </c>
      <c r="B14" t="s">
        <v>44</v>
      </c>
      <c r="C14" t="s">
        <v>26</v>
      </c>
      <c r="D14">
        <v>5</v>
      </c>
      <c r="E14">
        <v>2</v>
      </c>
      <c r="F14">
        <f>ROUND((Tableau4[[#This Row],[note]]*Tableau4[[#This Row],[Coefficient]]),2)</f>
        <v>10</v>
      </c>
      <c r="H14">
        <f>ROUND((Tableau4[[#This Row],[moyenne de classe]]*Tableau4[[#This Row],[Coefficient]]),2)</f>
        <v>0</v>
      </c>
    </row>
    <row r="15" spans="1:8" x14ac:dyDescent="0.3">
      <c r="A15" s="79">
        <f t="shared" si="0"/>
        <v>5</v>
      </c>
      <c r="B15" t="s">
        <v>46</v>
      </c>
      <c r="C15" t="s">
        <v>32</v>
      </c>
      <c r="D15">
        <v>6</v>
      </c>
      <c r="E15">
        <v>0.5</v>
      </c>
      <c r="F15">
        <f>ROUND((Tableau4[[#This Row],[note]]*Tableau4[[#This Row],[Coefficient]]),2)</f>
        <v>3</v>
      </c>
      <c r="G15">
        <v>16</v>
      </c>
      <c r="H15">
        <f>ROUND((Tableau4[[#This Row],[moyenne de classe]]*Tableau4[[#This Row],[Coefficient]]),2)</f>
        <v>8</v>
      </c>
    </row>
    <row r="16" spans="1:8" x14ac:dyDescent="0.3">
      <c r="A16" s="79">
        <f t="shared" si="0"/>
        <v>6</v>
      </c>
      <c r="B16" t="s">
        <v>47</v>
      </c>
      <c r="C16" t="s">
        <v>19</v>
      </c>
      <c r="D16">
        <v>20</v>
      </c>
      <c r="E16">
        <v>2</v>
      </c>
      <c r="F16" s="60">
        <f>ROUND((Tableau4[[#This Row],[note]]*Tableau4[[#This Row],[Coefficient]]),2)</f>
        <v>40</v>
      </c>
      <c r="G16">
        <v>13</v>
      </c>
      <c r="H16">
        <f>ROUND((Tableau4[[#This Row],[moyenne de classe]]*Tableau4[[#This Row],[Coefficient]]),2)</f>
        <v>26</v>
      </c>
    </row>
    <row r="17" spans="1:8" x14ac:dyDescent="0.3">
      <c r="A17" s="79">
        <f t="shared" si="0"/>
        <v>7</v>
      </c>
      <c r="B17" t="s">
        <v>44</v>
      </c>
      <c r="C17" t="s">
        <v>29</v>
      </c>
      <c r="D17">
        <v>20</v>
      </c>
      <c r="E17">
        <v>2</v>
      </c>
      <c r="F17" s="60">
        <f>ROUND((Tableau4[[#This Row],[note]]*Tableau4[[#This Row],[Coefficient]]),2)</f>
        <v>40</v>
      </c>
      <c r="G17">
        <v>14</v>
      </c>
      <c r="H17" s="60">
        <f>ROUND((Tableau4[[#This Row],[moyenne de classe]]*Tableau4[[#This Row],[Coefficient]]),2)</f>
        <v>28</v>
      </c>
    </row>
    <row r="18" spans="1:8" x14ac:dyDescent="0.3">
      <c r="A18" s="79">
        <f t="shared" si="0"/>
        <v>8</v>
      </c>
      <c r="B18" t="s">
        <v>47</v>
      </c>
      <c r="C18" t="s">
        <v>21</v>
      </c>
      <c r="D18">
        <v>15</v>
      </c>
      <c r="E18">
        <v>3</v>
      </c>
      <c r="F18" s="60">
        <f>ROUND((Tableau4[[#This Row],[note]]*Tableau4[[#This Row],[Coefficient]]),2)</f>
        <v>45</v>
      </c>
      <c r="G18">
        <v>14</v>
      </c>
      <c r="H18" s="60">
        <f>ROUND((Tableau4[[#This Row],[moyenne de classe]]*Tableau4[[#This Row],[Coefficient]]),2)</f>
        <v>42</v>
      </c>
    </row>
    <row r="19" spans="1:8" x14ac:dyDescent="0.3">
      <c r="A19" s="85">
        <v>9</v>
      </c>
      <c r="B19" t="s">
        <v>46</v>
      </c>
      <c r="C19" t="s">
        <v>23</v>
      </c>
      <c r="D19">
        <v>14</v>
      </c>
      <c r="E19">
        <v>1</v>
      </c>
      <c r="F19" s="60">
        <f>ROUND((Tableau4[[#This Row],[note]]*Tableau4[[#This Row],[Coefficient]]),2)</f>
        <v>14</v>
      </c>
      <c r="G19">
        <v>13</v>
      </c>
      <c r="H19" s="60">
        <f>ROUND((Tableau4[[#This Row],[moyenne de classe]]*Tableau4[[#This Row],[Coefficient]]),2)</f>
        <v>13</v>
      </c>
    </row>
    <row r="20" spans="1:8" x14ac:dyDescent="0.3">
      <c r="A20" s="85">
        <v>10</v>
      </c>
      <c r="B20" t="s">
        <v>46</v>
      </c>
      <c r="C20" t="s">
        <v>18</v>
      </c>
      <c r="D20">
        <v>16</v>
      </c>
      <c r="E20">
        <v>2</v>
      </c>
      <c r="F20" s="60">
        <f>ROUND((Tableau4[[#This Row],[note]]*Tableau4[[#This Row],[Coefficient]]),2)</f>
        <v>32</v>
      </c>
      <c r="G20">
        <v>14</v>
      </c>
      <c r="H20" s="60">
        <f>ROUND((Tableau4[[#This Row],[moyenne de classe]]*Tableau4[[#This Row],[Coefficient]]),2)</f>
        <v>28</v>
      </c>
    </row>
    <row r="21" spans="1:8" x14ac:dyDescent="0.3">
      <c r="A21" s="85">
        <v>11</v>
      </c>
      <c r="B21" t="s">
        <v>44</v>
      </c>
      <c r="C21" t="s">
        <v>27</v>
      </c>
      <c r="D21">
        <v>13</v>
      </c>
      <c r="E21">
        <v>0.5</v>
      </c>
      <c r="F21" s="60">
        <f>ROUND((Tableau4[[#This Row],[note]]*Tableau4[[#This Row],[Coefficient]]),2)</f>
        <v>6.5</v>
      </c>
      <c r="G21">
        <v>14</v>
      </c>
      <c r="H21" s="60">
        <f>ROUND((Tableau4[[#This Row],[moyenne de classe]]*Tableau4[[#This Row],[Coefficient]]),2)</f>
        <v>7</v>
      </c>
    </row>
    <row r="22" spans="1:8" x14ac:dyDescent="0.3">
      <c r="A22" s="85">
        <v>12</v>
      </c>
      <c r="B22" t="s">
        <v>46</v>
      </c>
      <c r="C22" t="s">
        <v>32</v>
      </c>
      <c r="D22">
        <v>2</v>
      </c>
      <c r="E22">
        <v>2</v>
      </c>
      <c r="F22" s="60">
        <f>ROUND((Tableau4[[#This Row],[note]]*Tableau4[[#This Row],[Coefficient]]),2)</f>
        <v>4</v>
      </c>
      <c r="G22">
        <v>12</v>
      </c>
      <c r="H22" s="60">
        <f>ROUND((Tableau4[[#This Row],[moyenne de classe]]*Tableau4[[#This Row],[Coefficient]]),2)</f>
        <v>24</v>
      </c>
    </row>
    <row r="23" spans="1:8" x14ac:dyDescent="0.3">
      <c r="A23" s="85">
        <v>13</v>
      </c>
      <c r="B23" t="s">
        <v>46</v>
      </c>
      <c r="C23" t="s">
        <v>35</v>
      </c>
      <c r="D23">
        <v>4</v>
      </c>
      <c r="E23">
        <v>2</v>
      </c>
      <c r="F23" s="60">
        <f>ROUND((Tableau4[[#This Row],[note]]*Tableau4[[#This Row],[Coefficient]]),2)</f>
        <v>8</v>
      </c>
      <c r="G23">
        <v>17</v>
      </c>
      <c r="H23" s="60">
        <f>ROUND((Tableau4[[#This Row],[moyenne de classe]]*Tableau4[[#This Row],[Coefficient]]),2)</f>
        <v>34</v>
      </c>
    </row>
    <row r="24" spans="1:8" x14ac:dyDescent="0.3">
      <c r="A24" s="85">
        <v>14</v>
      </c>
      <c r="B24" t="s">
        <v>44</v>
      </c>
      <c r="C24" t="s">
        <v>30</v>
      </c>
      <c r="D24">
        <v>15</v>
      </c>
      <c r="E24">
        <v>1</v>
      </c>
      <c r="F24" s="60">
        <f>ROUND((Tableau4[[#This Row],[note]]*Tableau4[[#This Row],[Coefficient]]),2)</f>
        <v>15</v>
      </c>
      <c r="G24">
        <v>14</v>
      </c>
      <c r="H24" s="60">
        <f>ROUND((Tableau4[[#This Row],[moyenne de classe]]*Tableau4[[#This Row],[Coefficient]]),2)</f>
        <v>14</v>
      </c>
    </row>
  </sheetData>
  <sheetProtection sheet="1" objects="1" scenarios="1"/>
  <mergeCells count="1">
    <mergeCell ref="A1:H1"/>
  </mergeCells>
  <conditionalFormatting sqref="A10:H24">
    <cfRule type="expression" dxfId="16" priority="4">
      <formula>OR($B10="S2_Analyser_statistiquement_les_données")</formula>
    </cfRule>
    <cfRule type="expression" dxfId="15" priority="5">
      <formula>OR($B10="S2_Valoriser_une_production_dans_un_contexte_professionnel")</formula>
    </cfRule>
    <cfRule type="expression" dxfId="14" priority="6">
      <formula>OR($B10="S2_Traiter_des_données_à_des_fins_décisionnelles")</formula>
    </cfRule>
  </conditionalFormatting>
  <dataValidations count="1">
    <dataValidation type="list" allowBlank="1" showInputMessage="1" showErrorMessage="1" sqref="C5" xr:uid="{15616AC6-9D6B-414F-99B5-19D420F3644E}">
      <formula1>INDIRECT($C$3)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2" r:id="rId4" name="S2Ajouternote">
          <controlPr defaultSize="0" autoLine="0" r:id="rId5">
            <anchor moveWithCells="1">
              <from>
                <xdr:col>2</xdr:col>
                <xdr:colOff>205740</xdr:colOff>
                <xdr:row>6</xdr:row>
                <xdr:rowOff>60960</xdr:rowOff>
              </from>
              <to>
                <xdr:col>2</xdr:col>
                <xdr:colOff>3497580</xdr:colOff>
                <xdr:row>8</xdr:row>
                <xdr:rowOff>45720</xdr:rowOff>
              </to>
            </anchor>
          </controlPr>
        </control>
      </mc:Choice>
      <mc:Fallback>
        <control shapeId="6152" r:id="rId4" name="S2Ajouternote"/>
      </mc:Fallback>
    </mc:AlternateContent>
    <mc:AlternateContent xmlns:mc="http://schemas.openxmlformats.org/markup-compatibility/2006">
      <mc:Choice Requires="x14">
        <control shapeId="6153" r:id="rId6" name="S2modifierNote">
          <controlPr defaultSize="0" autoLine="0" autoPict="0" r:id="rId7">
            <anchor moveWithCells="1">
              <from>
                <xdr:col>3</xdr:col>
                <xdr:colOff>632460</xdr:colOff>
                <xdr:row>6</xdr:row>
                <xdr:rowOff>99060</xdr:rowOff>
              </from>
              <to>
                <xdr:col>6</xdr:col>
                <xdr:colOff>1318260</xdr:colOff>
                <xdr:row>8</xdr:row>
                <xdr:rowOff>60960</xdr:rowOff>
              </to>
            </anchor>
          </controlPr>
        </control>
      </mc:Choice>
      <mc:Fallback>
        <control shapeId="6153" r:id="rId6" name="S2modifierNote"/>
      </mc:Fallback>
    </mc:AlternateContent>
  </controls>
  <tableParts count="1"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5B54DE-F031-4790-9F46-07901ED8A511}">
          <x14:formula1>
            <xm:f>Annexe!$A$10:$C$10</xm:f>
          </x14:formula1>
          <xm:sqref>C3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3A47B-3B58-4A73-90C4-EC9DEC3C9C4E}">
  <sheetPr codeName="Feuil8"/>
  <dimension ref="A1:P26"/>
  <sheetViews>
    <sheetView zoomScale="50" zoomScaleNormal="50" workbookViewId="0">
      <selection activeCell="D18" sqref="D18:D23"/>
    </sheetView>
  </sheetViews>
  <sheetFormatPr baseColWidth="10" defaultRowHeight="14.4" x14ac:dyDescent="0.3"/>
  <cols>
    <col min="1" max="1" width="52.44140625" bestFit="1" customWidth="1"/>
    <col min="2" max="3" width="29.77734375" customWidth="1"/>
    <col min="4" max="4" width="50.77734375" customWidth="1"/>
    <col min="5" max="5" width="18" bestFit="1" customWidth="1"/>
    <col min="6" max="6" width="15.77734375" bestFit="1" customWidth="1"/>
    <col min="9" max="11" width="0" hidden="1" customWidth="1"/>
  </cols>
  <sheetData>
    <row r="1" spans="1:16" ht="33.75" customHeight="1" x14ac:dyDescent="0.65">
      <c r="A1" s="212" t="s">
        <v>80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12"/>
      <c r="N1" s="212"/>
      <c r="O1" s="212"/>
      <c r="P1" s="212"/>
    </row>
    <row r="3" spans="1:16" ht="18" x14ac:dyDescent="0.35">
      <c r="A3" s="30" t="s">
        <v>49</v>
      </c>
      <c r="B3" s="106" t="s">
        <v>78</v>
      </c>
      <c r="C3" s="118" t="s">
        <v>77</v>
      </c>
      <c r="D3" s="104" t="s">
        <v>74</v>
      </c>
      <c r="I3" t="s">
        <v>71</v>
      </c>
      <c r="J3" t="s">
        <v>72</v>
      </c>
      <c r="K3" t="s">
        <v>73</v>
      </c>
    </row>
    <row r="4" spans="1:16" ht="26.25" customHeight="1" x14ac:dyDescent="0.3">
      <c r="A4" s="46" t="s">
        <v>39</v>
      </c>
      <c r="B4" s="201">
        <f>('Semestre 1'!B27+'Semestre 2'!B35)/2</f>
        <v>16.785</v>
      </c>
      <c r="C4" s="213">
        <f>('Semestre 1'!C27+'Semestre 2'!$D$35)/2</f>
        <v>13.645</v>
      </c>
      <c r="D4" s="209" t="str">
        <f>IF(B4&gt;=10, "Niveau 1 atteint"," Niveau 1 non atteint")</f>
        <v>Niveau 1 atteint</v>
      </c>
      <c r="I4" t="b">
        <f>AND(B4&gt;=8,B11&gt;=8,B18&gt;=8)</f>
        <v>1</v>
      </c>
      <c r="J4">
        <f>COUNTIF(B4:B23,"&gt;=10")</f>
        <v>2</v>
      </c>
      <c r="K4" t="str">
        <f>IF(AND(I4=TRUE,J4&gt;=2),"Passage autorisé","Passage refusé")</f>
        <v>Passage autorisé</v>
      </c>
    </row>
    <row r="5" spans="1:16" ht="26.25" customHeight="1" x14ac:dyDescent="0.3">
      <c r="A5" s="156" t="s">
        <v>0</v>
      </c>
      <c r="B5" s="202"/>
      <c r="C5" s="214"/>
      <c r="D5" s="209"/>
    </row>
    <row r="6" spans="1:16" ht="26.25" customHeight="1" x14ac:dyDescent="0.3">
      <c r="A6" s="156"/>
      <c r="B6" s="202"/>
      <c r="C6" s="214"/>
      <c r="D6" s="209"/>
    </row>
    <row r="7" spans="1:16" ht="26.25" customHeight="1" x14ac:dyDescent="0.3">
      <c r="A7" s="156"/>
      <c r="B7" s="202"/>
      <c r="C7" s="214"/>
      <c r="D7" s="209"/>
    </row>
    <row r="8" spans="1:16" ht="26.25" customHeight="1" x14ac:dyDescent="0.3">
      <c r="A8" s="156"/>
      <c r="B8" s="202"/>
      <c r="C8" s="214"/>
      <c r="D8" s="209"/>
    </row>
    <row r="9" spans="1:16" ht="26.25" customHeight="1" x14ac:dyDescent="0.3">
      <c r="A9" s="157"/>
      <c r="B9" s="203"/>
      <c r="C9" s="215"/>
      <c r="D9" s="210"/>
    </row>
    <row r="10" spans="1:16" x14ac:dyDescent="0.3">
      <c r="A10" s="35"/>
    </row>
    <row r="11" spans="1:16" ht="26.25" customHeight="1" x14ac:dyDescent="0.3">
      <c r="A11" s="47" t="s">
        <v>38</v>
      </c>
      <c r="B11" s="204">
        <f>('Semestre 1'!B34+'Semestre 2'!B42)/2</f>
        <v>10.93</v>
      </c>
      <c r="C11" s="216">
        <f>('Semestre 1'!C34+'Semestre 2'!$D$42)/2</f>
        <v>12.89</v>
      </c>
      <c r="D11" s="211" t="str">
        <f>IF(B11&gt;=10, "Niveau 1 atteint"," Niveau 1 non atteint")</f>
        <v>Niveau 1 atteint</v>
      </c>
    </row>
    <row r="12" spans="1:16" ht="26.25" customHeight="1" x14ac:dyDescent="0.3">
      <c r="A12" s="124" t="s">
        <v>7</v>
      </c>
      <c r="B12" s="204"/>
      <c r="C12" s="217"/>
      <c r="D12" s="209"/>
    </row>
    <row r="13" spans="1:16" ht="26.25" customHeight="1" x14ac:dyDescent="0.3">
      <c r="A13" s="124"/>
      <c r="B13" s="204"/>
      <c r="C13" s="217"/>
      <c r="D13" s="209"/>
    </row>
    <row r="14" spans="1:16" ht="26.25" customHeight="1" x14ac:dyDescent="0.3">
      <c r="A14" s="124"/>
      <c r="B14" s="204"/>
      <c r="C14" s="217"/>
      <c r="D14" s="209"/>
    </row>
    <row r="15" spans="1:16" ht="26.25" customHeight="1" x14ac:dyDescent="0.3">
      <c r="A15" s="124"/>
      <c r="B15" s="204"/>
      <c r="C15" s="217"/>
      <c r="D15" s="209"/>
    </row>
    <row r="16" spans="1:16" ht="26.25" customHeight="1" x14ac:dyDescent="0.3">
      <c r="A16" s="125"/>
      <c r="B16" s="204"/>
      <c r="C16" s="218"/>
      <c r="D16" s="210"/>
    </row>
    <row r="17" spans="1:4" x14ac:dyDescent="0.3">
      <c r="A17" s="35"/>
    </row>
    <row r="18" spans="1:4" ht="26.25" customHeight="1" x14ac:dyDescent="0.3">
      <c r="A18" s="48" t="s">
        <v>37</v>
      </c>
      <c r="B18" s="204">
        <f>('Semestre 1'!B41+'Semestre 2'!B49)/2</f>
        <v>8.3849999999999998</v>
      </c>
      <c r="C18" s="216">
        <f>('Semestre 1'!C41+'Semestre 2'!$D$49)/2</f>
        <v>12.205</v>
      </c>
      <c r="D18" s="211" t="str">
        <f>IF(B18&gt;=10, "Niveau 1 atteint"," Niveau 1 non atteint")</f>
        <v xml:space="preserve"> Niveau 1 non atteint</v>
      </c>
    </row>
    <row r="19" spans="1:4" ht="26.25" customHeight="1" x14ac:dyDescent="0.3">
      <c r="A19" s="143" t="s">
        <v>12</v>
      </c>
      <c r="B19" s="204"/>
      <c r="C19" s="217"/>
      <c r="D19" s="209"/>
    </row>
    <row r="20" spans="1:4" ht="26.25" customHeight="1" x14ac:dyDescent="0.3">
      <c r="A20" s="143"/>
      <c r="B20" s="204"/>
      <c r="C20" s="217"/>
      <c r="D20" s="209"/>
    </row>
    <row r="21" spans="1:4" ht="26.25" customHeight="1" x14ac:dyDescent="0.3">
      <c r="A21" s="143"/>
      <c r="B21" s="204"/>
      <c r="C21" s="217"/>
      <c r="D21" s="209"/>
    </row>
    <row r="22" spans="1:4" ht="26.25" customHeight="1" x14ac:dyDescent="0.3">
      <c r="A22" s="143"/>
      <c r="B22" s="204"/>
      <c r="C22" s="217"/>
      <c r="D22" s="209"/>
    </row>
    <row r="23" spans="1:4" ht="26.25" customHeight="1" x14ac:dyDescent="0.3">
      <c r="A23" s="144"/>
      <c r="B23" s="204"/>
      <c r="C23" s="218"/>
      <c r="D23" s="210"/>
    </row>
    <row r="24" spans="1:4" ht="15" thickBot="1" x14ac:dyDescent="0.35"/>
    <row r="25" spans="1:4" ht="18.75" customHeight="1" x14ac:dyDescent="0.3">
      <c r="A25" s="126" t="s">
        <v>55</v>
      </c>
      <c r="B25" s="128">
        <f>(B4+B11+B18)/3</f>
        <v>12.033333333333333</v>
      </c>
      <c r="C25" s="205">
        <f>(C4+C11+C18)/3</f>
        <v>12.913333333333334</v>
      </c>
      <c r="D25" s="207" t="str">
        <f>IF(AND(I4=TRUE,J4&gt;=2),"Passage en deuxième année","Non admis en deuxième année")</f>
        <v>Passage en deuxième année</v>
      </c>
    </row>
    <row r="26" spans="1:4" ht="15" thickBot="1" x14ac:dyDescent="0.35">
      <c r="A26" s="127"/>
      <c r="B26" s="129"/>
      <c r="C26" s="206"/>
      <c r="D26" s="208"/>
    </row>
  </sheetData>
  <sheetProtection sheet="1" objects="1" scenarios="1"/>
  <mergeCells count="17">
    <mergeCell ref="A1:P1"/>
    <mergeCell ref="C4:C9"/>
    <mergeCell ref="C11:C16"/>
    <mergeCell ref="C18:C23"/>
    <mergeCell ref="C25:C26"/>
    <mergeCell ref="D25:D26"/>
    <mergeCell ref="D4:D9"/>
    <mergeCell ref="D11:D16"/>
    <mergeCell ref="D18:D23"/>
    <mergeCell ref="A25:A26"/>
    <mergeCell ref="B25:B26"/>
    <mergeCell ref="B4:B9"/>
    <mergeCell ref="A5:A9"/>
    <mergeCell ref="B11:B16"/>
    <mergeCell ref="A12:A16"/>
    <mergeCell ref="B18:B23"/>
    <mergeCell ref="A19:A23"/>
  </mergeCells>
  <conditionalFormatting sqref="D4:D23">
    <cfRule type="containsText" dxfId="7" priority="7" operator="containsText" text="Niveau 1 non atteint">
      <formula>NOT(ISERROR(SEARCH("Niveau 1 non atteint",D4)))</formula>
    </cfRule>
    <cfRule type="containsText" dxfId="6" priority="8" operator="containsText" text="Niveau 1 atteint">
      <formula>NOT(ISERROR(SEARCH("Niveau 1 atteint",D4)))</formula>
    </cfRule>
  </conditionalFormatting>
  <conditionalFormatting sqref="D25:D26">
    <cfRule type="containsText" dxfId="5" priority="4" operator="containsText" text="Non admis en deuxième année">
      <formula>NOT(ISERROR(SEARCH("Non admis en deuxième année",D25)))</formula>
    </cfRule>
    <cfRule type="containsText" dxfId="4" priority="5" operator="containsText" text="Passage en deuxième année">
      <formula>NOT(ISERROR(SEARCH("Passage en deuxième année",D25)))</formula>
    </cfRule>
    <cfRule type="containsText" dxfId="3" priority="6" operator="containsText" text="Passage en deuxième année ">
      <formula>NOT(ISERROR(SEARCH("Passage en deuxième année ",D25)))</formula>
    </cfRule>
  </conditionalFormatting>
  <conditionalFormatting sqref="B4:B23">
    <cfRule type="cellIs" dxfId="2" priority="1" operator="between">
      <formula>8</formula>
      <formula>10</formula>
    </cfRule>
    <cfRule type="cellIs" dxfId="1" priority="2" operator="lessThan">
      <formula>8</formula>
    </cfRule>
    <cfRule type="cellIs" dxfId="0" priority="3" operator="greaterThan">
      <formula>10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882C0-BE28-40A5-A6D8-AE18342726C8}">
  <sheetPr codeName="Feuil4"/>
  <dimension ref="A1:E55"/>
  <sheetViews>
    <sheetView zoomScale="80" zoomScaleNormal="80" workbookViewId="0">
      <selection activeCell="C49" sqref="C49"/>
    </sheetView>
  </sheetViews>
  <sheetFormatPr baseColWidth="10" defaultRowHeight="14.4" x14ac:dyDescent="0.3"/>
  <cols>
    <col min="1" max="1" width="51.21875" bestFit="1" customWidth="1"/>
    <col min="2" max="2" width="62.5546875" bestFit="1" customWidth="1"/>
    <col min="3" max="3" width="75" bestFit="1" customWidth="1"/>
    <col min="5" max="5" width="59.5546875" bestFit="1" customWidth="1"/>
    <col min="6" max="6" width="57.21875" bestFit="1" customWidth="1"/>
    <col min="7" max="7" width="69.44140625" bestFit="1" customWidth="1"/>
  </cols>
  <sheetData>
    <row r="1" spans="1:3" x14ac:dyDescent="0.3">
      <c r="A1" s="24" t="s">
        <v>43</v>
      </c>
      <c r="B1" s="25" t="s">
        <v>45</v>
      </c>
      <c r="C1" s="24" t="s">
        <v>42</v>
      </c>
    </row>
    <row r="2" spans="1:3" x14ac:dyDescent="0.3">
      <c r="A2" s="23" t="s">
        <v>1</v>
      </c>
      <c r="B2" s="27" t="s">
        <v>1</v>
      </c>
      <c r="C2" s="23" t="s">
        <v>1</v>
      </c>
    </row>
    <row r="3" spans="1:3" x14ac:dyDescent="0.3">
      <c r="A3" s="23" t="s">
        <v>2</v>
      </c>
      <c r="B3" s="27" t="s">
        <v>8</v>
      </c>
      <c r="C3" s="23" t="s">
        <v>13</v>
      </c>
    </row>
    <row r="4" spans="1:3" x14ac:dyDescent="0.3">
      <c r="A4" s="23" t="s">
        <v>3</v>
      </c>
      <c r="B4" s="27" t="s">
        <v>9</v>
      </c>
      <c r="C4" s="23" t="s">
        <v>14</v>
      </c>
    </row>
    <row r="5" spans="1:3" x14ac:dyDescent="0.3">
      <c r="A5" s="23" t="s">
        <v>4</v>
      </c>
      <c r="B5" s="27" t="s">
        <v>10</v>
      </c>
      <c r="C5" s="23" t="s">
        <v>15</v>
      </c>
    </row>
    <row r="6" spans="1:3" x14ac:dyDescent="0.3">
      <c r="A6" s="23" t="s">
        <v>5</v>
      </c>
      <c r="B6" s="28" t="s">
        <v>11</v>
      </c>
      <c r="C6" s="23" t="s">
        <v>16</v>
      </c>
    </row>
    <row r="7" spans="1:3" x14ac:dyDescent="0.3">
      <c r="A7" s="23" t="s">
        <v>6</v>
      </c>
      <c r="B7" s="23"/>
      <c r="C7" s="23" t="s">
        <v>17</v>
      </c>
    </row>
    <row r="10" spans="1:3" x14ac:dyDescent="0.3">
      <c r="A10" s="25" t="s">
        <v>47</v>
      </c>
      <c r="B10" s="25" t="s">
        <v>44</v>
      </c>
      <c r="C10" s="25" t="s">
        <v>46</v>
      </c>
    </row>
    <row r="11" spans="1:3" x14ac:dyDescent="0.3">
      <c r="A11" s="23" t="s">
        <v>18</v>
      </c>
      <c r="B11" s="23" t="s">
        <v>18</v>
      </c>
      <c r="C11" s="23" t="s">
        <v>18</v>
      </c>
    </row>
    <row r="12" spans="1:3" x14ac:dyDescent="0.3">
      <c r="A12" s="23" t="s">
        <v>19</v>
      </c>
      <c r="B12" s="23" t="s">
        <v>26</v>
      </c>
      <c r="C12" s="23" t="s">
        <v>32</v>
      </c>
    </row>
    <row r="13" spans="1:3" x14ac:dyDescent="0.3">
      <c r="A13" s="23" t="s">
        <v>20</v>
      </c>
      <c r="B13" s="23" t="s">
        <v>27</v>
      </c>
      <c r="C13" s="23" t="s">
        <v>33</v>
      </c>
    </row>
    <row r="14" spans="1:3" x14ac:dyDescent="0.3">
      <c r="A14" s="23" t="s">
        <v>21</v>
      </c>
      <c r="B14" s="23" t="s">
        <v>28</v>
      </c>
      <c r="C14" s="23" t="s">
        <v>34</v>
      </c>
    </row>
    <row r="15" spans="1:3" x14ac:dyDescent="0.3">
      <c r="A15" s="23" t="s">
        <v>22</v>
      </c>
      <c r="B15" s="23" t="s">
        <v>29</v>
      </c>
      <c r="C15" s="23" t="s">
        <v>23</v>
      </c>
    </row>
    <row r="16" spans="1:3" x14ac:dyDescent="0.3">
      <c r="A16" s="23" t="s">
        <v>23</v>
      </c>
      <c r="B16" s="23" t="s">
        <v>23</v>
      </c>
      <c r="C16" s="23" t="s">
        <v>35</v>
      </c>
    </row>
    <row r="17" spans="1:5" x14ac:dyDescent="0.3">
      <c r="A17" s="23" t="s">
        <v>24</v>
      </c>
      <c r="B17" s="23" t="s">
        <v>30</v>
      </c>
      <c r="C17" s="23" t="s">
        <v>36</v>
      </c>
    </row>
    <row r="18" spans="1:5" x14ac:dyDescent="0.3">
      <c r="A18" s="23" t="s">
        <v>25</v>
      </c>
      <c r="B18" s="23" t="s">
        <v>31</v>
      </c>
      <c r="C18" s="23" t="s">
        <v>25</v>
      </c>
    </row>
    <row r="19" spans="1:5" x14ac:dyDescent="0.3">
      <c r="A19" s="23"/>
      <c r="B19" s="23" t="s">
        <v>25</v>
      </c>
      <c r="C19" s="23"/>
    </row>
    <row r="24" spans="1:5" ht="18" x14ac:dyDescent="0.35">
      <c r="A24" s="23" t="s">
        <v>75</v>
      </c>
      <c r="B24" s="31" t="s">
        <v>53</v>
      </c>
      <c r="C24" s="105" t="s">
        <v>61</v>
      </c>
    </row>
    <row r="25" spans="1:5" x14ac:dyDescent="0.3">
      <c r="A25" s="110" t="s">
        <v>0</v>
      </c>
      <c r="B25" s="111">
        <f>'Semestre 1'!B27</f>
        <v>17.57</v>
      </c>
      <c r="C25" s="23">
        <f>'Semestre 1'!C27</f>
        <v>14.2</v>
      </c>
    </row>
    <row r="26" spans="1:5" x14ac:dyDescent="0.3">
      <c r="A26" s="112" t="s">
        <v>7</v>
      </c>
      <c r="B26" s="111">
        <f>'Semestre 1'!B34</f>
        <v>7.84</v>
      </c>
      <c r="C26" s="23">
        <f>'Semestre 1'!C34</f>
        <v>14.37</v>
      </c>
    </row>
    <row r="27" spans="1:5" ht="18" customHeight="1" x14ac:dyDescent="0.3">
      <c r="A27" s="113" t="s">
        <v>12</v>
      </c>
      <c r="B27" s="111">
        <f>'Semestre 1'!B41</f>
        <v>9.31</v>
      </c>
      <c r="C27" s="111">
        <f>'Semestre 1'!C41</f>
        <v>14.38</v>
      </c>
    </row>
    <row r="29" spans="1:5" ht="18" x14ac:dyDescent="0.35">
      <c r="A29" s="23" t="s">
        <v>76</v>
      </c>
      <c r="B29" s="31" t="s">
        <v>53</v>
      </c>
      <c r="C29" s="105" t="s">
        <v>61</v>
      </c>
    </row>
    <row r="30" spans="1:5" x14ac:dyDescent="0.3">
      <c r="A30" s="110" t="s">
        <v>0</v>
      </c>
      <c r="B30" s="111">
        <f>'Semestre 2'!B35</f>
        <v>16</v>
      </c>
      <c r="C30" s="111">
        <f>'Semestre 2'!D35</f>
        <v>13.09</v>
      </c>
      <c r="E30" s="102"/>
    </row>
    <row r="31" spans="1:5" x14ac:dyDescent="0.3">
      <c r="A31" s="112" t="s">
        <v>7</v>
      </c>
      <c r="B31" s="111">
        <f>'Semestre 2'!B42</f>
        <v>14.02</v>
      </c>
      <c r="C31" s="111">
        <f>'Semestre 2'!D42</f>
        <v>11.41</v>
      </c>
      <c r="E31" s="103"/>
    </row>
    <row r="32" spans="1:5" ht="20.25" customHeight="1" x14ac:dyDescent="0.3">
      <c r="A32" s="113" t="s">
        <v>12</v>
      </c>
      <c r="B32" s="111">
        <f>'Semestre 2'!B49</f>
        <v>7.46</v>
      </c>
      <c r="C32" s="111">
        <f>'Semestre 2'!D49</f>
        <v>10.029999999999999</v>
      </c>
      <c r="E32" s="102"/>
    </row>
    <row r="33" spans="1:5" x14ac:dyDescent="0.3">
      <c r="E33" s="102"/>
    </row>
    <row r="34" spans="1:5" ht="18" x14ac:dyDescent="0.35">
      <c r="A34" s="23" t="s">
        <v>79</v>
      </c>
      <c r="B34" s="31" t="s">
        <v>53</v>
      </c>
      <c r="C34" s="105" t="s">
        <v>61</v>
      </c>
      <c r="E34" s="102"/>
    </row>
    <row r="35" spans="1:5" x14ac:dyDescent="0.3">
      <c r="A35" s="110" t="s">
        <v>0</v>
      </c>
      <c r="B35" s="111">
        <f>'Passage 2ème année'!B4</f>
        <v>16.785</v>
      </c>
      <c r="C35" s="111">
        <f>'Passage 2ème année'!C4</f>
        <v>13.645</v>
      </c>
      <c r="E35" s="102"/>
    </row>
    <row r="36" spans="1:5" x14ac:dyDescent="0.3">
      <c r="A36" s="112" t="s">
        <v>7</v>
      </c>
      <c r="B36" s="111">
        <f>'Passage 2ème année'!B11</f>
        <v>10.93</v>
      </c>
      <c r="C36" s="111">
        <f>'Passage 2ème année'!C11</f>
        <v>12.89</v>
      </c>
      <c r="E36" s="102"/>
    </row>
    <row r="37" spans="1:5" ht="16.5" customHeight="1" x14ac:dyDescent="0.3">
      <c r="A37" s="113" t="s">
        <v>12</v>
      </c>
      <c r="B37" s="111">
        <f>'Passage 2ème année'!B18</f>
        <v>8.3849999999999998</v>
      </c>
      <c r="C37" s="111">
        <f>'Passage 2ème année'!C18</f>
        <v>12.205</v>
      </c>
      <c r="E37" s="102"/>
    </row>
    <row r="38" spans="1:5" x14ac:dyDescent="0.3">
      <c r="E38" s="102"/>
    </row>
    <row r="39" spans="1:5" x14ac:dyDescent="0.3">
      <c r="E39" s="102"/>
    </row>
    <row r="40" spans="1:5" x14ac:dyDescent="0.3">
      <c r="E40" s="86"/>
    </row>
    <row r="41" spans="1:5" x14ac:dyDescent="0.3">
      <c r="E41" s="102"/>
    </row>
    <row r="42" spans="1:5" x14ac:dyDescent="0.3">
      <c r="A42" s="102"/>
      <c r="B42" s="102"/>
    </row>
    <row r="43" spans="1:5" x14ac:dyDescent="0.3">
      <c r="A43" s="102"/>
      <c r="E43" s="102"/>
    </row>
    <row r="44" spans="1:5" x14ac:dyDescent="0.3">
      <c r="E44" s="103"/>
    </row>
    <row r="47" spans="1:5" x14ac:dyDescent="0.3">
      <c r="B47" s="102"/>
    </row>
    <row r="48" spans="1:5" x14ac:dyDescent="0.3">
      <c r="B48" s="102"/>
    </row>
    <row r="49" spans="2:2" x14ac:dyDescent="0.3">
      <c r="B49" s="102"/>
    </row>
    <row r="50" spans="2:2" x14ac:dyDescent="0.3">
      <c r="B50" s="102"/>
    </row>
    <row r="51" spans="2:2" x14ac:dyDescent="0.3">
      <c r="B51" s="102"/>
    </row>
    <row r="52" spans="2:2" x14ac:dyDescent="0.3">
      <c r="B52" s="102"/>
    </row>
    <row r="53" spans="2:2" x14ac:dyDescent="0.3">
      <c r="B53" s="102"/>
    </row>
    <row r="54" spans="2:2" x14ac:dyDescent="0.3">
      <c r="B54" s="102"/>
    </row>
    <row r="55" spans="2:2" x14ac:dyDescent="0.3">
      <c r="B55" s="102"/>
    </row>
  </sheetData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CE34B9E595A247A1FC2061DA1D007F" ma:contentTypeVersion="4" ma:contentTypeDescription="Crée un document." ma:contentTypeScope="" ma:versionID="066414740c4a5d997b19ee28cb30cbdf">
  <xsd:schema xmlns:xsd="http://www.w3.org/2001/XMLSchema" xmlns:xs="http://www.w3.org/2001/XMLSchema" xmlns:p="http://schemas.microsoft.com/office/2006/metadata/properties" xmlns:ns3="9314bfaa-d41d-45d5-acf0-3bb32f8b62ee" targetNamespace="http://schemas.microsoft.com/office/2006/metadata/properties" ma:root="true" ma:fieldsID="3e3b05d4debaf4a750169b55551ce80f" ns3:_="">
    <xsd:import namespace="9314bfaa-d41d-45d5-acf0-3bb32f8b62e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14bfaa-d41d-45d5-acf0-3bb32f8b62e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D54AFFE-5259-4068-AF06-13033927B61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4D02518-1C21-4A61-B649-3EC9FA9E0838}">
  <ds:schemaRefs>
    <ds:schemaRef ds:uri="http://purl.org/dc/elements/1.1/"/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9314bfaa-d41d-45d5-acf0-3bb32f8b62ee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EA2C8137-F5AF-4AD4-8BC5-B0132EEB1D4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314bfaa-d41d-45d5-acf0-3bb32f8b62e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Guide d'utilisation</vt:lpstr>
      <vt:lpstr>Semestre 1</vt:lpstr>
      <vt:lpstr>S1 relevé de note</vt:lpstr>
      <vt:lpstr>Semestre 2</vt:lpstr>
      <vt:lpstr>S2 relevé de note</vt:lpstr>
      <vt:lpstr>Passage 2ème année</vt:lpstr>
      <vt:lpstr>Annexe</vt:lpstr>
      <vt:lpstr>S1_Analyser_statistiquement_les_données</vt:lpstr>
      <vt:lpstr>S1_Traiter_des_données_à_des_fins_décisionnelles</vt:lpstr>
      <vt:lpstr>S1_Valoriser_une_production_dans_un_contexte_professionnel</vt:lpstr>
      <vt:lpstr>S2_Analyser_statistiquement_les_données</vt:lpstr>
      <vt:lpstr>S2_Traiter_des_données_à_des_fins_décisionnelles</vt:lpstr>
      <vt:lpstr>S2_Valoriser_une_production_dans_un_contexte_professionnel</vt:lpstr>
    </vt:vector>
  </TitlesOfParts>
  <Company>Université de Poitiers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Bureau Laurent</dc:creator>
  <cp:lastModifiedBy>ETTA SANTE</cp:lastModifiedBy>
  <dcterms:created xsi:type="dcterms:W3CDTF">2021-12-11T14:17:04Z</dcterms:created>
  <dcterms:modified xsi:type="dcterms:W3CDTF">2022-06-15T16:18:18Z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0x01010079CE34B9E595A247A1FC2061DA1D007F</vt:lpwstr>
  </property>
</Properties>
</file>